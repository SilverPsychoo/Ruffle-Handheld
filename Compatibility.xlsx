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71910c2bd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44350c46ad3348f6"/>
    <x:sheet xmlns:r="http://schemas.openxmlformats.org/officeDocument/2006/relationships" name="Compatibility" sheetId="2" r:id="Rf63abc7da9c04cee"/>
    <x:sheet xmlns:r="http://schemas.openxmlformats.org/officeDocument/2006/relationships" name="Control Profiles" sheetId="3" r:id="R38f942e9bcbe49cd"/>
    <x:sheet xmlns:r="http://schemas.openxmlformats.org/officeDocument/2006/relationships" name="Dashboard" sheetId="4" r:id="R864c463f8644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455A64"/>
      </x:patternFill>
    </x:fill>
    <x:fill>
      <x:patternFill patternType="solid">
        <x:fgColor rgb="FFECEFF1"/>
      </x:patternFill>
    </x:fill>
    <x:fill>
      <x:patternFill patternType="solid">
        <x:fgColor rgb="FF455A6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>
          <x:bgColor rgb="FFD7F0DD"/>
        </x:patternFill>
      </x:fill>
    </x:dxf>
    <x:dxf>
      <x:fill>
        <x:patternFill>
          <x:bgColor rgb="FFE6F4E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FF1C7"/>
        </x:patternFill>
      </x:fill>
    </x:dxf>
    <x:dxf>
      <x:fill>
        <x:patternFill>
          <x:bgColor rgb="FFE6F4EA"/>
        </x:patternFill>
      </x:fill>
    </x:dxf>
    <x:dxf>
      <x:fill>
        <x:patternFill>
          <x:bgColor rgb="FFFFF1C7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b40c0c171413d" /><Relationship Type="http://schemas.openxmlformats.org/officeDocument/2006/relationships/theme" Target="/xl/theme/theme1.xml" Id="R5074e1c61b054c96" /><Relationship Type="http://schemas.openxmlformats.org/officeDocument/2006/relationships/sharedStrings" Target="/xl/sharedStrings.xml" Id="R17f96ed3efd7499e" /><Relationship Type="http://schemas.openxmlformats.org/officeDocument/2006/relationships/worksheet" Target="/xl/worksheets/sheet1.xml" Id="R44350c46ad3348f6" /><Relationship Type="http://schemas.openxmlformats.org/officeDocument/2006/relationships/worksheet" Target="/xl/worksheets/sheet2.xml" Id="Rf63abc7da9c04cee" /><Relationship Type="http://schemas.openxmlformats.org/officeDocument/2006/relationships/worksheet" Target="/xl/worksheets/sheet3.xml" Id="R38f942e9bcbe49cd" /><Relationship Type="http://schemas.openxmlformats.org/officeDocument/2006/relationships/worksheet" Target="/xl/worksheets/sheet4.xml" Id="R864c463f864441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51e992011740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Compatibility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'Dashboard'!$B$11:$B$20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51e992011740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atibilityTable" displayName="CompatibilityTable" ref="A1:S16" headerRowCount="1" totalsRowCount="0" totalsRowShown="0">
  <x:tableColumns count="19">
    <x:tableColumn id="1" name="Game"/>
    <x:tableColumn id="2" name="SWF Filename"/>
    <x:tableColumn id="3" name="Status"/>
    <x:tableColumn id="4" name="Performance"/>
    <x:tableColumn id="5" name="Controls"/>
    <x:tableColumn id="6" name="Input Type"/>
    <x:tableColumn id="7" name="Content Type"/>
    <x:tableColumn id="8" name="Backend"/>
    <x:tableColumn id="9" name="CFW"/>
    <x:tableColumn id="10" name="Device"/>
    <x:tableColumn id="11" name="SoC"/>
    <x:tableColumn id="12" name="Architecture"/>
    <x:tableColumn id="13" name="Audio"/>
    <x:tableColumn id="14" name="Profile"/>
    <x:tableColumn id="15" name="Project Version"/>
    <x:tableColumn id="16" name="Test Date"/>
    <x:tableColumn id="17" name="Reporter"/>
    <x:tableColumn id="18" name="Notes"/>
    <x:tableColumn id="19" name="Issue / 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ProfilesTable" displayName="ControlProfilesTable" ref="A1:N16" headerRowCount="1" totalsRowCount="0" totalsRowShown="0">
  <x:tableColumns count="14">
    <x:tableColumn id="1" name="Game"/>
    <x:tableColumn id="2" name="Profile File"/>
    <x:tableColumn id="3" name="Aliases"/>
    <x:tableColumn id="4" name="A Policy"/>
    <x:tableColumn id="5" name="Mouse Click"/>
    <x:tableColumn id="6" name="A"/>
    <x:tableColumn id="7" name="B"/>
    <x:tableColumn id="8" name="X"/>
    <x:tableColumn id="9" name="Y"/>
    <x:tableColumn id="10" name="Start"/>
    <x:tableColumn id="11" name="Select"/>
    <x:tableColumn id="12" name="L1"/>
    <x:tableColumn id="13" name="R2/Internal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d9f050570748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a1b77b9fde43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c3d0fb66d804e6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" t="str">
        <x:v>Status</x:v>
      </x:c>
      <x:c r="B1" s="4" t="str">
        <x:v>Performance</x:v>
      </x:c>
      <x:c r="C1" s="4" t="str">
        <x:v>Controls</x:v>
      </x:c>
      <x:c r="D1" s="4" t="str">
        <x:v>Input Type</x:v>
      </x:c>
      <x:c r="E1" s="4" t="str">
        <x:v>Content Type</x:v>
      </x:c>
      <x:c r="F1" s="4" t="str">
        <x:v>Audio</x:v>
      </x:c>
    </x:row>
    <x:row r="2">
      <x:c r="A2" t="str">
        <x:v>Perfect</x:v>
      </x:c>
      <x:c r="B2" t="str">
        <x:v>High</x:v>
      </x:c>
      <x:c r="C2" t="str">
        <x:v>Working</x:v>
      </x:c>
      <x:c r="D2" t="str">
        <x:v>Mouse</x:v>
      </x:c>
      <x:c r="E2" t="str">
        <x:v>Single SWF</x:v>
      </x:c>
      <x:c r="F2" t="str">
        <x:v>Works</x:v>
      </x:c>
    </x:row>
    <x:row r="3">
      <x:c r="A3" t="str">
        <x:v>Playable</x:v>
      </x:c>
      <x:c r="B3" t="str">
        <x:v>Medium</x:v>
      </x:c>
      <x:c r="C3" t="str">
        <x:v>Custom profile</x:v>
      </x:c>
      <x:c r="D3" t="str">
        <x:v>Keyboard</x:v>
      </x:c>
      <x:c r="E3" t="str">
        <x:v>Multi-file</x:v>
      </x:c>
      <x:c r="F3" t="str">
        <x:v>Issues</x:v>
      </x:c>
    </x:row>
    <x:row r="4">
      <x:c r="A4" t="str">
        <x:v>Partial</x:v>
      </x:c>
      <x:c r="B4" t="str">
        <x:v>Low</x:v>
      </x:c>
      <x:c r="C4" t="str">
        <x:v>Partial</x:v>
      </x:c>
      <x:c r="D4" t="str">
        <x:v>Hybrid</x:v>
      </x:c>
      <x:c r="E4" t="str">
        <x:v>Network-dependent</x:v>
      </x:c>
      <x:c r="F4" t="str">
        <x:v>No audio</x:v>
      </x:c>
    </x:row>
    <x:row r="5">
      <x:c r="A5" t="str">
        <x:v>Boots</x:v>
      </x:c>
      <x:c r="B5" t="str">
        <x:v>Unknown</x:v>
      </x:c>
      <x:c r="C5" t="str">
        <x:v>Mouse-only</x:v>
      </x:c>
      <x:c r="D5" t="str">
        <x:v>Unknown</x:v>
      </x:c>
      <x:c r="E5" t="str">
        <x:v>Unknown</x:v>
      </x:c>
      <x:c r="F5" t="str">
        <x:v>Unknown</x:v>
      </x:c>
    </x:row>
    <x:row r="6">
      <x:c r="A6" t="str">
        <x:v>Doesn't open</x:v>
      </x:c>
      <x:c r="B6" t="str">
        <x:v>N/A</x:v>
      </x:c>
      <x:c r="C6" t="str">
        <x:v>Needs profile</x:v>
      </x:c>
      <x:c r="D6" t="str"/>
      <x:c r="E6" t="str"/>
      <x:c r="F6" t="str">
        <x:v>N/A</x:v>
      </x:c>
    </x:row>
    <x:row r="7">
      <x:c r="A7" t="str">
        <x:v>Black screen</x:v>
      </x:c>
      <x:c r="B7" t="str"/>
      <x:c r="C7" t="str">
        <x:v>Broken</x:v>
      </x:c>
      <x:c r="D7" t="str"/>
      <x:c r="E7" t="str"/>
      <x:c r="F7" t="str"/>
    </x:row>
    <x:row r="8">
      <x:c r="A8" t="str">
        <x:v>White screen</x:v>
      </x:c>
      <x:c r="B8" t="str"/>
      <x:c r="C8" t="str"/>
      <x:c r="D8" t="str"/>
      <x:c r="E8" t="str"/>
      <x:c r="F8" t="str"/>
    </x:row>
    <x:row r="9">
      <x:c r="A9" t="str">
        <x:v>Crash</x:v>
      </x:c>
      <x:c r="B9" t="str"/>
      <x:c r="C9" t="str"/>
      <x:c r="D9" t="str"/>
      <x:c r="E9" t="str"/>
      <x:c r="F9" t="str"/>
    </x:row>
    <x:row r="10">
      <x:c r="A10" t="str">
        <x:v>Needs assets</x:v>
      </x:c>
      <x:c r="B10" t="str"/>
      <x:c r="C10" t="str"/>
      <x:c r="D10" t="str"/>
      <x:c r="E10" t="str"/>
      <x:c r="F10" t="str"/>
    </x:row>
    <x:row r="11">
      <x:c r="A11" t="str">
        <x:v>Untested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20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18" hidden="0" customWidth="1"/>
    <x:col min="16" max="16" width="14" hidden="0" customWidth="1"/>
    <x:col min="17" max="17" width="18" hidden="0" customWidth="1"/>
    <x:col min="18" max="18" width="42" hidden="0" customWidth="1"/>
    <x:col min="19" max="19" width="30" hidden="0" customWidth="1"/>
  </x:cols>
  <x:sheetData>
    <x:row r="1">
      <x:c r="A1" s="10" t="str">
        <x:v>Game</x:v>
      </x:c>
      <x:c r="B1" s="10" t="str">
        <x:v>SWF Filename</x:v>
      </x:c>
      <x:c r="C1" s="10" t="str">
        <x:v>Status</x:v>
      </x:c>
      <x:c r="D1" s="10" t="str">
        <x:v>Performance</x:v>
      </x:c>
      <x:c r="E1" s="10" t="str">
        <x:v>Controls</x:v>
      </x:c>
      <x:c r="F1" s="10" t="str">
        <x:v>Input Type</x:v>
      </x:c>
      <x:c r="G1" s="10" t="str">
        <x:v>Content Type</x:v>
      </x:c>
      <x:c r="H1" s="10" t="str">
        <x:v>Backend</x:v>
      </x:c>
      <x:c r="I1" s="10" t="str">
        <x:v>CFW</x:v>
      </x:c>
      <x:c r="J1" s="10" t="str">
        <x:v>Device</x:v>
      </x:c>
      <x:c r="K1" s="10" t="str">
        <x:v>SoC</x:v>
      </x:c>
      <x:c r="L1" s="10" t="str">
        <x:v>Architecture</x:v>
      </x:c>
      <x:c r="M1" s="10" t="str">
        <x:v>Audio</x:v>
      </x:c>
      <x:c r="N1" s="10" t="str">
        <x:v>Profile</x:v>
      </x:c>
      <x:c r="O1" s="10" t="str">
        <x:v>Project Version</x:v>
      </x:c>
      <x:c r="P1" s="10" t="str">
        <x:v>Test Date</x:v>
      </x:c>
      <x:c r="Q1" s="10" t="str">
        <x:v>Reporter</x:v>
      </x:c>
      <x:c r="R1" s="10" t="str">
        <x:v>Notes</x:v>
      </x:c>
      <x:c r="S1" s="10" t="str">
        <x:v>Issue / PR</x:v>
      </x:c>
    </x:row>
    <x:row r="2">
      <x:c r="A2" s="14" t="str">
        <x:v>Fancy Pants Adventure World 1</x:v>
      </x:c>
      <x:c r="B2" s="14" t="str">
        <x:v>the-fancy-pants-adventure-1.swf</x:v>
      </x:c>
      <x:c r="C2" s="14" t="str">
        <x:v>Playable</x:v>
      </x:c>
      <x:c r="D2" s="14" t="str">
        <x:v>High</x:v>
      </x:c>
      <x:c r="E2" s="14" t="str">
        <x:v>Custom profile</x:v>
      </x:c>
      <x:c r="F2" s="14" t="str">
        <x:v>Hybrid</x:v>
      </x:c>
      <x:c r="G2" s="14" t="str">
        <x:v>Single SWF</x:v>
      </x:c>
      <x:c r="H2" s="14" t="str">
        <x:v>Native</x:v>
      </x:c>
      <x:c r="I2" s="14" t="str">
        <x:v>EmuELEC</x:v>
      </x:c>
      <x:c r="J2" s="14" t="str">
        <x:v>RK3326 handheld</x:v>
      </x:c>
      <x:c r="K2" s="14" t="str">
        <x:v>RK3326</x:v>
      </x:c>
      <x:c r="L2" s="14" t="str">
        <x:v>aarch64</x:v>
      </x:c>
      <x:c r="M2" s="14" t="str">
        <x:v>Unknown</x:v>
      </x:c>
      <x:c r="N2" s="14" t="str">
        <x:v>the-fancy-pants-adventure-1.profile</x:v>
      </x:c>
      <x:c r="O2" s="14" t="str">
        <x:v>0.7.7</x:v>
      </x:c>
      <x:c r="P2" s="31" t="str"/>
      <x:c r="Q2" s="14" t="str">
        <x:v>Maintainer</x:v>
      </x:c>
      <x:c r="R2" s="14" t="str">
        <x:v>Runs well on the tested RK3326/EmuELEC setup. Custom handheld profile in use.</x:v>
      </x:c>
      <x:c r="S2" s="14" t="str"/>
    </x:row>
    <x:row r="3">
      <x:c r="A3" s="14" t="str">
        <x:v>The World's Hardest Game</x:v>
      </x:c>
      <x:c r="B3" s="14" t="str">
        <x:v>The World Hardest Game.swf</x:v>
      </x:c>
      <x:c r="C3" s="14" t="str">
        <x:v>Playable</x:v>
      </x:c>
      <x:c r="D3" s="14" t="str">
        <x:v>High</x:v>
      </x:c>
      <x:c r="E3" s="14" t="str">
        <x:v>Custom profile</x:v>
      </x:c>
      <x:c r="F3" s="14" t="str">
        <x:v>Hybrid</x:v>
      </x:c>
      <x:c r="G3" s="14" t="str">
        <x:v>Single SWF</x:v>
      </x:c>
      <x:c r="H3" s="14" t="str">
        <x:v>Native</x:v>
      </x:c>
      <x:c r="I3" s="14" t="str">
        <x:v>EmuELEC</x:v>
      </x:c>
      <x:c r="J3" s="14" t="str">
        <x:v>RK3326 handheld</x:v>
      </x:c>
      <x:c r="K3" s="14" t="str">
        <x:v>RK3326</x:v>
      </x:c>
      <x:c r="L3" s="14" t="str">
        <x:v>aarch64</x:v>
      </x:c>
      <x:c r="M3" s="14" t="str">
        <x:v>Unknown</x:v>
      </x:c>
      <x:c r="N3" s="14" t="str">
        <x:v>the-world-hardest-game.profile</x:v>
      </x:c>
      <x:c r="O3" s="14" t="str">
        <x:v>0.7.7</x:v>
      </x:c>
      <x:c r="P3" s="31" t="str"/>
      <x:c r="Q3" s="14" t="str">
        <x:v>Maintainer</x:v>
      </x:c>
      <x:c r="R3" s="14" t="str">
        <x:v>Runs well on the tested RK3326/EmuELEC setup. Movement and click controls working.</x:v>
      </x:c>
      <x:c r="S3" s="14" t="str"/>
    </x:row>
    <x:row r="4">
      <x:c r="A4" s="14" t="str">
        <x:v>Dad 'n Me</x:v>
      </x:c>
      <x:c r="B4" s="14" t="str">
        <x:v>dadnme.swf</x:v>
      </x:c>
      <x:c r="C4" s="14" t="str">
        <x:v>Playable</x:v>
      </x:c>
      <x:c r="D4" s="14" t="str">
        <x:v>Medium</x:v>
      </x:c>
      <x:c r="E4" s="14" t="str">
        <x:v>Custom profile</x:v>
      </x:c>
      <x:c r="F4" s="14" t="str">
        <x:v>Keyboard + mouse</x:v>
      </x:c>
      <x:c r="G4" s="14" t="str">
        <x:v>Single SWF</x:v>
      </x:c>
      <x:c r="H4" s="14" t="str">
        <x:v>Native</x:v>
      </x:c>
      <x:c r="I4" s="14" t="str">
        <x:v>EmuELEC</x:v>
      </x:c>
      <x:c r="J4" s="14" t="str">
        <x:v>RK3326 handheld</x:v>
      </x:c>
      <x:c r="K4" s="14" t="str">
        <x:v>RK3326</x:v>
      </x:c>
      <x:c r="L4" s="14" t="str">
        <x:v>aarch64</x:v>
      </x:c>
      <x:c r="M4" s="14" t="str">
        <x:v>Unknown</x:v>
      </x:c>
      <x:c r="N4" s="14" t="str">
        <x:v>dad-n-me.profile</x:v>
      </x:c>
      <x:c r="O4" s="14" t="str">
        <x:v>0.7.7</x:v>
      </x:c>
      <x:c r="P4" s="31" t="str"/>
      <x:c r="Q4" s="14" t="str">
        <x:v>Maintainer</x:v>
      </x:c>
      <x:c r="R4" s="14" t="str">
        <x:v>Playable with medium performance on the tested RK3326/EmuELEC setup.</x:v>
      </x:c>
      <x:c r="S4" s="14" t="str"/>
    </x:row>
    <x:row r="5">
      <x:c r="A5" s="14" t="str">
        <x:v>Papa's Pizzeria</x:v>
      </x:c>
      <x:c r="B5" s="14" t="str">
        <x:v>papas-pizzeria.swf</x:v>
      </x:c>
      <x:c r="C5" s="14" t="str">
        <x:v>Playable</x:v>
      </x:c>
      <x:c r="D5" s="14" t="str">
        <x:v>High</x:v>
      </x:c>
      <x:c r="E5" s="14" t="str">
        <x:v>Mouse-only</x:v>
      </x:c>
      <x:c r="F5" s="14" t="str">
        <x:v>Mouse</x:v>
      </x:c>
      <x:c r="G5" s="14" t="str">
        <x:v>Single SWF</x:v>
      </x:c>
      <x:c r="H5" s="14" t="str">
        <x:v>Native</x:v>
      </x:c>
      <x:c r="I5" s="14" t="str">
        <x:v>EmuELEC</x:v>
      </x:c>
      <x:c r="J5" s="14" t="str">
        <x:v>RK3326 handheld</x:v>
      </x:c>
      <x:c r="K5" s="14" t="str">
        <x:v>RK3326</x:v>
      </x:c>
      <x:c r="L5" s="14" t="str">
        <x:v>aarch64</x:v>
      </x:c>
      <x:c r="M5" s="14" t="str">
        <x:v>Unknown</x:v>
      </x:c>
      <x:c r="N5" s="14" t="str">
        <x:v>papas-pizzeria.profile</x:v>
      </x:c>
      <x:c r="O5" s="14" t="str">
        <x:v>0.7.7</x:v>
      </x:c>
      <x:c r="P5" s="31" t="str"/>
      <x:c r="Q5" s="14" t="str">
        <x:v>Maintainer</x:v>
      </x:c>
      <x:c r="R5" s="14" t="str">
        <x:v>Runs well on the tested RK3326/EmuELEC setup. Mouse controls working.</x:v>
      </x:c>
      <x:c r="S5" s="14" t="str"/>
    </x:row>
    <x:row r="6">
      <x:c r="A6" s="14" t="str">
        <x:v>Henry Stickmin - Breaking the Bank</x:v>
      </x:c>
      <x:c r="B6" s="14" t="str">
        <x:v>henry-stickmin-breaking-the-bank.swf</x:v>
      </x:c>
      <x:c r="C6" s="14" t="str">
        <x:v>Playable</x:v>
      </x:c>
      <x:c r="D6" s="14" t="str">
        <x:v>High</x:v>
      </x:c>
      <x:c r="E6" s="14" t="str">
        <x:v>Mouse-only</x:v>
      </x:c>
      <x:c r="F6" s="14" t="str">
        <x:v>Mouse</x:v>
      </x:c>
      <x:c r="G6" s="14" t="str">
        <x:v>Single SWF</x:v>
      </x:c>
      <x:c r="H6" s="14" t="str">
        <x:v>Native</x:v>
      </x:c>
      <x:c r="I6" s="14" t="str">
        <x:v>EmuELEC</x:v>
      </x:c>
      <x:c r="J6" s="14" t="str">
        <x:v>RK3326 handheld</x:v>
      </x:c>
      <x:c r="K6" s="14" t="str">
        <x:v>RK3326</x:v>
      </x:c>
      <x:c r="L6" s="14" t="str">
        <x:v>aarch64</x:v>
      </x:c>
      <x:c r="M6" s="14" t="str">
        <x:v>Unknown</x:v>
      </x:c>
      <x:c r="N6" s="14" t="str">
        <x:v>henry-stickmin-breaking-the-bank.profile</x:v>
      </x:c>
      <x:c r="O6" s="14" t="str">
        <x:v>0.7.7</x:v>
      </x:c>
      <x:c r="P6" s="31" t="str"/>
      <x:c r="Q6" s="14" t="str">
        <x:v>Maintainer</x:v>
      </x:c>
      <x:c r="R6" s="14" t="str">
        <x:v>Runs well on the tested RK3326/EmuELEC setup. Mouse controls working.</x:v>
      </x:c>
      <x:c r="S6" s="14" t="str"/>
    </x:row>
    <x:row r="7">
      <x:c r="A7" s="14" t="str">
        <x:v>Garfield's Scary Scavenger Hunt</x:v>
      </x:c>
      <x:c r="B7" s="14" t="str"/>
      <x:c r="C7" s="14" t="str">
        <x:v>Playable</x:v>
      </x:c>
      <x:c r="D7" s="14" t="str">
        <x:v>Medium</x:v>
      </x:c>
      <x:c r="E7" s="14" t="str">
        <x:v>Custom profile</x:v>
      </x:c>
      <x:c r="F7" s="14" t="str">
        <x:v>Hybrid</x:v>
      </x:c>
      <x:c r="G7" s="14" t="str">
        <x:v>Multi-file</x:v>
      </x:c>
      <x:c r="H7" s="14" t="str">
        <x:v>Native Multi-file</x:v>
      </x:c>
      <x:c r="I7" s="14" t="str">
        <x:v>EmuELEC</x:v>
      </x:c>
      <x:c r="J7" s="14" t="str">
        <x:v>RK3326 handheld</x:v>
      </x:c>
      <x:c r="K7" s="14" t="str">
        <x:v>RK3326</x:v>
      </x:c>
      <x:c r="L7" s="14" t="str">
        <x:v>aarch64</x:v>
      </x:c>
      <x:c r="M7" s="14" t="str">
        <x:v>Unknown</x:v>
      </x:c>
      <x:c r="N7" s="14" t="str">
        <x:v>garfield-s-scary-scavenger-hunt.profile</x:v>
      </x:c>
      <x:c r="O7" s="14" t="str">
        <x:v>0.7.7</x:v>
      </x:c>
      <x:c r="P7" s="31" t="str"/>
      <x:c r="Q7" s="14" t="str">
        <x:v>Maintainer</x:v>
      </x:c>
      <x:c r="R7" s="14" t="str">
        <x:v>Multi-file test case. Playable with medium performance on the tested RK3326/EmuELEC setup.</x:v>
      </x:c>
      <x:c r="S7" s="14" t="str"/>
    </x:row>
    <x:row r="8">
      <x:c r="A8" s="14" t="str">
        <x:v>Super Mario 63</x:v>
      </x:c>
      <x:c r="B8" s="14" t="str"/>
      <x:c r="C8" s="14" t="str">
        <x:v>Playable</x:v>
      </x:c>
      <x:c r="D8" s="14" t="str">
        <x:v>Low</x:v>
      </x:c>
      <x:c r="E8" s="14" t="str">
        <x:v>Custom profile</x:v>
      </x:c>
      <x:c r="F8" s="14" t="str">
        <x:v>Keyboard + mouse</x:v>
      </x:c>
      <x:c r="G8" s="14" t="str">
        <x:v>Single SWF</x:v>
      </x:c>
      <x:c r="H8" s="14" t="str">
        <x:v>Native</x:v>
      </x:c>
      <x:c r="I8" s="14" t="str">
        <x:v>EmuELEC</x:v>
      </x:c>
      <x:c r="J8" s="14" t="str">
        <x:v>RK3326 handheld</x:v>
      </x:c>
      <x:c r="K8" s="14" t="str">
        <x:v>RK3326</x:v>
      </x:c>
      <x:c r="L8" s="14" t="str">
        <x:v>aarch64</x:v>
      </x:c>
      <x:c r="M8" s="14" t="str">
        <x:v>Unknown</x:v>
      </x:c>
      <x:c r="N8" s="14" t="str">
        <x:v>super-mario-63.profile</x:v>
      </x:c>
      <x:c r="O8" s="14" t="str">
        <x:v>0.7.7</x:v>
      </x:c>
      <x:c r="P8" s="31" t="str"/>
      <x:c r="Q8" s="14" t="str">
        <x:v>Maintainer</x:v>
      </x:c>
      <x:c r="R8" s="14" t="str">
        <x:v>Opens and is playable, but performance is low on the tested RK3326/EmuELEC setup.</x:v>
      </x:c>
      <x:c r="S8" s="14" t="str"/>
    </x:row>
    <x:row r="9">
      <x:c r="A9" s="14" t="str">
        <x:v>Bad Ice-Cream 3</x:v>
      </x:c>
      <x:c r="B9" s="14" t="str"/>
      <x:c r="C9" s="14" t="str">
        <x:v>White screen</x:v>
      </x:c>
      <x:c r="D9" s="14" t="str">
        <x:v>N/A</x:v>
      </x:c>
      <x:c r="E9" s="14" t="str">
        <x:v>Custom profile</x:v>
      </x:c>
      <x:c r="F9" s="14" t="str">
        <x:v>Keyboard + mouse</x:v>
      </x:c>
      <x:c r="G9" s="14" t="str">
        <x:v>Single SWF</x:v>
      </x:c>
      <x:c r="H9" s="14" t="str">
        <x:v>Native</x:v>
      </x:c>
      <x:c r="I9" s="14" t="str">
        <x:v>EmuELEC</x:v>
      </x:c>
      <x:c r="J9" s="14" t="str">
        <x:v>RK3326 handheld</x:v>
      </x:c>
      <x:c r="K9" s="14" t="str">
        <x:v>RK3326</x:v>
      </x:c>
      <x:c r="L9" s="14" t="str">
        <x:v>aarch64</x:v>
      </x:c>
      <x:c r="M9" s="14" t="str">
        <x:v>Unknown</x:v>
      </x:c>
      <x:c r="N9" s="14" t="str">
        <x:v>bad-ice-cream-3.profile</x:v>
      </x:c>
      <x:c r="O9" s="14" t="str">
        <x:v>0.7.7</x:v>
      </x:c>
      <x:c r="P9" s="31" t="str"/>
      <x:c r="Q9" s="14" t="str">
        <x:v>Maintainer</x:v>
      </x:c>
      <x:c r="R9" s="14" t="str">
        <x:v>Game reaches a white screen on the tested setup.</x:v>
      </x:c>
      <x:c r="S9" s="14" t="str"/>
    </x:row>
    <x:row r="10">
      <x:c r="A10" s="14" t="str">
        <x:v>Super Mario Bros. Crossover 3</x:v>
      </x:c>
      <x:c r="B10" s="14"/>
      <x:c r="C10" s="14" t="str">
        <x:v>Doesn't open</x:v>
      </x:c>
      <x:c r="D10" s="14" t="str">
        <x:v>N/A</x:v>
      </x:c>
      <x:c r="E10" s="14"/>
      <x:c r="F10" s="14"/>
      <x:c r="G10" s="14" t="str">
        <x:v>Multi-file</x:v>
      </x:c>
      <x:c r="H10" s="14" t="str">
        <x:v>Native Multi-file</x:v>
      </x:c>
      <x:c r="I10" s="14" t="str">
        <x:v>EmuELEC</x:v>
      </x:c>
      <x:c r="J10" s="14" t="str">
        <x:v>RK3326 handheld</x:v>
      </x:c>
      <x:c r="K10" s="14" t="str">
        <x:v>RK3326</x:v>
      </x:c>
      <x:c r="L10" s="14" t="str">
        <x:v>aarch64</x:v>
      </x:c>
      <x:c r="M10" s="14" t="str">
        <x:v>Unknown</x:v>
      </x:c>
      <x:c r="N10" s="14"/>
      <x:c r="O10" s="14" t="str">
        <x:v>0.7.7</x:v>
      </x:c>
      <x:c r="P10" s="31"/>
      <x:c r="Q10" s="14" t="str">
        <x:v>Maintainer</x:v>
      </x:c>
      <x:c r="R10" s="14" t="str">
        <x:v>Does not open on the tested setup.</x:v>
      </x:c>
      <x:c r="S10" s="14"/>
    </x:row>
    <x:row r="11">
      <x:c r="A11" s="14" t="str">
        <x:v>Bejeweled 2 (Original)</x:v>
      </x:c>
      <x:c r="B11" s="14"/>
      <x:c r="C11" s="14" t="str">
        <x:v>Crash</x:v>
      </x:c>
      <x:c r="D11" s="14" t="str">
        <x:v>N/A</x:v>
      </x:c>
      <x:c r="E11" s="14" t="str">
        <x:v>Mouse-only</x:v>
      </x:c>
      <x:c r="F11" s="14" t="str">
        <x:v>Mouse</x:v>
      </x:c>
      <x:c r="G11" s="14" t="str">
        <x:v>Single SWF</x:v>
      </x:c>
      <x:c r="H11" s="14" t="str">
        <x:v>Native</x:v>
      </x:c>
      <x:c r="I11" s="14" t="str">
        <x:v>EmuELEC</x:v>
      </x:c>
      <x:c r="J11" s="14" t="str">
        <x:v>RK3326 handheld</x:v>
      </x:c>
      <x:c r="K11" s="14" t="str">
        <x:v>RK3326</x:v>
      </x:c>
      <x:c r="L11" s="14" t="str">
        <x:v>aarch64</x:v>
      </x:c>
      <x:c r="M11" s="14" t="str">
        <x:v>Unknown</x:v>
      </x:c>
      <x:c r="N11" s="14" t="str">
        <x:v>bejeweled-2.profile</x:v>
      </x:c>
      <x:c r="O11" s="14" t="str">
        <x:v>0.8.21</x:v>
      </x:c>
      <x:c r="P11" s="31" t="n">
        <x:v>46262</x:v>
      </x:c>
      <x:c r="Q11" s="14" t="str">
        <x:v>Maintainer</x:v>
      </x:c>
      <x:c r="R11" s="14" t="str">
        <x:v>Original Bejeweled 2 build crashes on the tested setup. The King.com build is tracked separately.</x:v>
      </x:c>
      <x:c r="S11" s="14"/>
    </x:row>
    <x:row r="12">
      <x:c r="A12" s="14" t="str">
        <x:v>Minecraft Tower Defense</x:v>
      </x:c>
      <x:c r="B12" s="14"/>
      <x:c r="C12" s="14" t="str">
        <x:v>Playable</x:v>
      </x:c>
      <x:c r="D12" s="14" t="str">
        <x:v>Medium</x:v>
      </x:c>
      <x:c r="E12" s="14" t="str">
        <x:v>Mouse-only</x:v>
      </x:c>
      <x:c r="F12" s="14" t="str">
        <x:v>Mouse</x:v>
      </x:c>
      <x:c r="G12" s="14" t="str">
        <x:v>Single SWF</x:v>
      </x:c>
      <x:c r="H12" s="14" t="str">
        <x:v>Native</x:v>
      </x:c>
      <x:c r="I12" s="14" t="str">
        <x:v>EmuELEC</x:v>
      </x:c>
      <x:c r="J12" s="14" t="str">
        <x:v>RK3326 handheld</x:v>
      </x:c>
      <x:c r="K12" s="14" t="str">
        <x:v>RK3326</x:v>
      </x:c>
      <x:c r="L12" s="14" t="str">
        <x:v>aarch64</x:v>
      </x:c>
      <x:c r="M12" s="14" t="str">
        <x:v>Unknown</x:v>
      </x:c>
      <x:c r="N12" s="14" t="str">
        <x:v>minecrafttowerdefense.profile</x:v>
      </x:c>
      <x:c r="O12" s="14" t="str">
        <x:v>0.8.21</x:v>
      </x:c>
      <x:c r="P12" s="31" t="n">
        <x:v>46262</x:v>
      </x:c>
      <x:c r="Q12" s="14" t="str">
        <x:v>Maintainer</x:v>
      </x:c>
      <x:c r="R12" s="14" t="str">
        <x:v>Playable with medium performance on the tested RK3326/EmuELEC setup.</x:v>
      </x:c>
      <x:c r="S12" s="14"/>
    </x:row>
    <x:row r="13">
      <x:c r="A13" s="14" t="str">
        <x:v>Final Fantasy Sonic X5</x:v>
      </x:c>
      <x:c r="B13" s="14"/>
      <x:c r="C13" s="14" t="str">
        <x:v>Playable</x:v>
      </x:c>
      <x:c r="D13" s="14" t="str">
        <x:v>High</x:v>
      </x:c>
      <x:c r="E13" s="14" t="str">
        <x:v>Mouse-only</x:v>
      </x:c>
      <x:c r="F13" s="14" t="str">
        <x:v>Mouse</x:v>
      </x:c>
      <x:c r="G13" s="14" t="str">
        <x:v>Single SWF</x:v>
      </x:c>
      <x:c r="H13" s="14" t="str">
        <x:v>Native</x:v>
      </x:c>
      <x:c r="I13" s="14" t="str">
        <x:v>EmuELEC</x:v>
      </x:c>
      <x:c r="J13" s="14" t="str">
        <x:v>RK3326 handheld</x:v>
      </x:c>
      <x:c r="K13" s="14" t="str">
        <x:v>RK3326</x:v>
      </x:c>
      <x:c r="L13" s="14" t="str">
        <x:v>aarch64</x:v>
      </x:c>
      <x:c r="M13" s="14" t="str">
        <x:v>Unknown</x:v>
      </x:c>
      <x:c r="N13" s="14" t="str">
        <x:v>final-fantasy-sonic-x5.profile</x:v>
      </x:c>
      <x:c r="O13" s="14" t="str">
        <x:v>0.8.21</x:v>
      </x:c>
      <x:c r="P13" s="31" t="n">
        <x:v>46262</x:v>
      </x:c>
      <x:c r="Q13" s="14" t="str">
        <x:v>Maintainer</x:v>
      </x:c>
      <x:c r="R13" s="14" t="str">
        <x:v>Runs well with high performance on the tested RK3326/EmuELEC setup.</x:v>
      </x:c>
      <x:c r="S13" s="14"/>
    </x:row>
    <x:row r="14">
      <x:c r="A14" s="14" t="str">
        <x:v>Bejeweled 2 (King.com)</x:v>
      </x:c>
      <x:c r="B14" s="14"/>
      <x:c r="C14" s="14" t="str">
        <x:v>Playable</x:v>
      </x:c>
      <x:c r="D14" s="14" t="str">
        <x:v>High</x:v>
      </x:c>
      <x:c r="E14" s="14" t="str">
        <x:v>Mouse-only</x:v>
      </x:c>
      <x:c r="F14" s="14" t="str">
        <x:v>Mouse</x:v>
      </x:c>
      <x:c r="G14" s="14" t="str">
        <x:v>Single SWF</x:v>
      </x:c>
      <x:c r="H14" s="14" t="str">
        <x:v>Native</x:v>
      </x:c>
      <x:c r="I14" s="14" t="str">
        <x:v>EmuELEC</x:v>
      </x:c>
      <x:c r="J14" s="14" t="str">
        <x:v>RK3326 handheld</x:v>
      </x:c>
      <x:c r="K14" s="14" t="str">
        <x:v>RK3326</x:v>
      </x:c>
      <x:c r="L14" s="14" t="str">
        <x:v>aarch64</x:v>
      </x:c>
      <x:c r="M14" s="14" t="str">
        <x:v>Unknown</x:v>
      </x:c>
      <x:c r="N14" s="14" t="str">
        <x:v>bejeweled-2.profile</x:v>
      </x:c>
      <x:c r="O14" s="14" t="str">
        <x:v>0.8.21</x:v>
      </x:c>
      <x:c r="P14" s="31" t="n">
        <x:v>46262</x:v>
      </x:c>
      <x:c r="Q14" s="14" t="str">
        <x:v>Maintainer</x:v>
      </x:c>
      <x:c r="R14" s="14" t="str">
        <x:v>King.com build runs well with high performance on the tested setup.</x:v>
      </x:c>
      <x:c r="S14" s="14"/>
    </x:row>
    <x:row r="15">
      <x:c r="A15" s="14" t="str">
        <x:v>We Dancing Online</x:v>
      </x:c>
      <x:c r="B15" s="14" t="str">
        <x:v>we_dancing_online.swf</x:v>
      </x:c>
      <x:c r="C15" s="14" t="str">
        <x:v>Playable</x:v>
      </x:c>
      <x:c r="D15" s="14" t="str">
        <x:v>High</x:v>
      </x:c>
      <x:c r="E15" s="14" t="str">
        <x:v>Custom profile</x:v>
      </x:c>
      <x:c r="F15" s="14" t="str">
        <x:v>Hybrid</x:v>
      </x:c>
      <x:c r="G15" s="14" t="str">
        <x:v>Single SWF</x:v>
      </x:c>
      <x:c r="H15" s="14" t="str">
        <x:v>Native</x:v>
      </x:c>
      <x:c r="I15" s="14" t="str">
        <x:v>EmuELEC</x:v>
      </x:c>
      <x:c r="J15" s="14" t="str">
        <x:v>RK3326 handheld</x:v>
      </x:c>
      <x:c r="K15" s="14" t="str">
        <x:v>RK3326</x:v>
      </x:c>
      <x:c r="L15" s="14" t="str">
        <x:v>aarch64</x:v>
      </x:c>
      <x:c r="M15" s="14" t="str">
        <x:v>Unknown</x:v>
      </x:c>
      <x:c r="N15" s="14" t="str">
        <x:v>we-dancing-online.profile</x:v>
      </x:c>
      <x:c r="O15" s="14" t="str">
        <x:v>0.8.21</x:v>
      </x:c>
      <x:c r="P15" s="31" t="n">
        <x:v>46262</x:v>
      </x:c>
      <x:c r="Q15" s="14" t="str">
        <x:v>Maintainer</x:v>
      </x:c>
      <x:c r="R15" s="14" t="str">
        <x:v>Runs well with high performance. D-pad/keyboard mapping and mouse-menu click profile in use.</x:v>
      </x:c>
      <x:c r="S15" s="14"/>
    </x:row>
    <x:row r="16">
      <x:c r="A16" s="14" t="str">
        <x:v>Ultimate Flash Sonic</x:v>
      </x:c>
      <x:c r="B16" s="14"/>
      <x:c r="C16" s="14" t="str">
        <x:v>Playable</x:v>
      </x:c>
      <x:c r="D16" s="14" t="str">
        <x:v>Medium</x:v>
      </x:c>
      <x:c r="E16" s="14" t="str">
        <x:v>Custom profile</x:v>
      </x:c>
      <x:c r="F16" s="14" t="str">
        <x:v>Hybrid</x:v>
      </x:c>
      <x:c r="G16" s="14" t="str">
        <x:v>Single SWF</x:v>
      </x:c>
      <x:c r="H16" s="14" t="str">
        <x:v>Native</x:v>
      </x:c>
      <x:c r="I16" s="14" t="str">
        <x:v>EmuELEC</x:v>
      </x:c>
      <x:c r="J16" s="14" t="str">
        <x:v>RK3326 handheld</x:v>
      </x:c>
      <x:c r="K16" s="14" t="str">
        <x:v>RK3326</x:v>
      </x:c>
      <x:c r="L16" s="14" t="str">
        <x:v>aarch64</x:v>
      </x:c>
      <x:c r="M16" s="14" t="str">
        <x:v>Unknown</x:v>
      </x:c>
      <x:c r="N16" s="14" t="str">
        <x:v>ultimate-flash-sonic.profile</x:v>
      </x:c>
      <x:c r="O16" s="14" t="str">
        <x:v>0.8.21</x:v>
      </x:c>
      <x:c r="P16" s="31" t="n">
        <x:v>46262</x:v>
      </x:c>
      <x:c r="Q16" s="14" t="str">
        <x:v>Maintainer</x:v>
      </x:c>
      <x:c r="R16" s="14" t="str">
        <x:v>Playable with medium performance on the tested RK3326/EmuELEC setup.</x:v>
      </x:c>
      <x:c r="S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31"/>
      <x:c r="Q17" s="14"/>
      <x:c r="R17" s="14"/>
      <x:c r="S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31"/>
      <x:c r="Q18" s="14"/>
      <x:c r="R18" s="14"/>
      <x:c r="S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31"/>
      <x:c r="Q19" s="14"/>
      <x:c r="R19" s="14"/>
      <x:c r="S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31"/>
      <x:c r="Q20" s="14"/>
      <x:c r="R20" s="14"/>
      <x:c r="S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31"/>
      <x:c r="Q21" s="14"/>
      <x:c r="R21" s="14"/>
      <x:c r="S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31"/>
      <x:c r="Q22" s="14"/>
      <x:c r="R22" s="14"/>
      <x:c r="S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31"/>
      <x:c r="Q23" s="14"/>
      <x:c r="R23" s="14"/>
      <x:c r="S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31"/>
      <x:c r="Q24" s="14"/>
      <x:c r="R24" s="14"/>
      <x:c r="S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31"/>
      <x:c r="Q25" s="14"/>
      <x:c r="R25" s="14"/>
      <x:c r="S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31"/>
      <x:c r="Q26" s="14"/>
      <x:c r="R26" s="14"/>
      <x:c r="S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31"/>
      <x:c r="Q27" s="14"/>
      <x:c r="R27" s="14"/>
      <x:c r="S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31"/>
      <x:c r="Q28" s="14"/>
      <x:c r="R28" s="14"/>
      <x:c r="S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31"/>
      <x:c r="Q29" s="14"/>
      <x:c r="R29" s="14"/>
      <x:c r="S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31"/>
      <x:c r="Q30" s="14"/>
      <x:c r="R30" s="14"/>
      <x:c r="S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31"/>
      <x:c r="Q31" s="14"/>
      <x:c r="R31" s="14"/>
      <x:c r="S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31"/>
      <x:c r="Q32" s="14"/>
      <x:c r="R32" s="14"/>
      <x:c r="S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31"/>
      <x:c r="Q33" s="14"/>
      <x:c r="R33" s="14"/>
      <x:c r="S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31"/>
      <x:c r="Q34" s="14"/>
      <x:c r="R34" s="14"/>
      <x:c r="S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31"/>
      <x:c r="Q35" s="14"/>
      <x:c r="R35" s="14"/>
      <x:c r="S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31"/>
      <x:c r="Q36" s="14"/>
      <x:c r="R36" s="14"/>
      <x:c r="S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31"/>
      <x:c r="Q37" s="14"/>
      <x:c r="R37" s="14"/>
      <x:c r="S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31"/>
      <x:c r="Q38" s="14"/>
      <x:c r="R38" s="14"/>
      <x:c r="S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31"/>
      <x:c r="Q39" s="14"/>
      <x:c r="R39" s="14"/>
      <x:c r="S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31"/>
      <x:c r="Q40" s="14"/>
      <x:c r="R40" s="14"/>
      <x:c r="S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31"/>
      <x:c r="Q41" s="14"/>
      <x:c r="R41" s="14"/>
      <x:c r="S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31"/>
      <x:c r="Q42" s="14"/>
      <x:c r="R42" s="14"/>
      <x:c r="S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31"/>
      <x:c r="Q43" s="14"/>
      <x:c r="R43" s="14"/>
      <x:c r="S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31"/>
      <x:c r="Q44" s="14"/>
      <x:c r="R44" s="14"/>
      <x:c r="S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31"/>
      <x:c r="Q45" s="14"/>
      <x:c r="R45" s="14"/>
      <x:c r="S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31"/>
      <x:c r="Q46" s="14"/>
      <x:c r="R46" s="14"/>
      <x:c r="S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31"/>
      <x:c r="Q47" s="14"/>
      <x:c r="R47" s="14"/>
      <x:c r="S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31"/>
      <x:c r="Q48" s="14"/>
      <x:c r="R48" s="14"/>
      <x:c r="S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31"/>
      <x:c r="Q49" s="14"/>
      <x:c r="R49" s="14"/>
      <x:c r="S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31"/>
      <x:c r="Q50" s="14"/>
      <x:c r="R50" s="14"/>
      <x:c r="S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31"/>
      <x:c r="Q51" s="14"/>
      <x:c r="R51" s="14"/>
      <x:c r="S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31"/>
      <x:c r="Q52" s="14"/>
      <x:c r="R52" s="14"/>
      <x:c r="S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31"/>
      <x:c r="Q53" s="14"/>
      <x:c r="R53" s="14"/>
      <x:c r="S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31"/>
      <x:c r="Q54" s="14"/>
      <x:c r="R54" s="14"/>
      <x:c r="S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31"/>
      <x:c r="Q55" s="14"/>
      <x:c r="R55" s="14"/>
      <x:c r="S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31"/>
      <x:c r="Q56" s="14"/>
      <x:c r="R56" s="14"/>
      <x:c r="S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31"/>
      <x:c r="Q57" s="14"/>
      <x:c r="R57" s="14"/>
      <x:c r="S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31"/>
      <x:c r="Q58" s="14"/>
      <x:c r="R58" s="14"/>
      <x:c r="S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31"/>
      <x:c r="Q59" s="14"/>
      <x:c r="R59" s="14"/>
      <x:c r="S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31"/>
      <x:c r="Q60" s="14"/>
      <x:c r="R60" s="14"/>
      <x:c r="S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31"/>
      <x:c r="Q61" s="14"/>
      <x:c r="R61" s="14"/>
      <x:c r="S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31"/>
      <x:c r="Q62" s="14"/>
      <x:c r="R62" s="14"/>
      <x:c r="S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31"/>
      <x:c r="Q63" s="14"/>
      <x:c r="R63" s="14"/>
      <x:c r="S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31"/>
      <x:c r="Q64" s="14"/>
      <x:c r="R64" s="14"/>
      <x:c r="S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31"/>
      <x:c r="Q65" s="14"/>
      <x:c r="R65" s="14"/>
      <x:c r="S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31"/>
      <x:c r="Q66" s="14"/>
      <x:c r="R66" s="14"/>
      <x:c r="S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31"/>
      <x:c r="Q67" s="14"/>
      <x:c r="R67" s="14"/>
      <x:c r="S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31"/>
      <x:c r="Q68" s="14"/>
      <x:c r="R68" s="14"/>
      <x:c r="S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31"/>
      <x:c r="Q69" s="14"/>
      <x:c r="R69" s="14"/>
      <x:c r="S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31"/>
      <x:c r="Q70" s="14"/>
      <x:c r="R70" s="14"/>
      <x:c r="S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31"/>
      <x:c r="Q71" s="14"/>
      <x:c r="R71" s="14"/>
      <x:c r="S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31"/>
      <x:c r="Q72" s="14"/>
      <x:c r="R72" s="14"/>
      <x:c r="S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31"/>
      <x:c r="Q73" s="14"/>
      <x:c r="R73" s="14"/>
      <x:c r="S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31"/>
      <x:c r="Q74" s="14"/>
      <x:c r="R74" s="14"/>
      <x:c r="S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31"/>
      <x:c r="Q75" s="14"/>
      <x:c r="R75" s="14"/>
      <x:c r="S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31"/>
      <x:c r="Q76" s="14"/>
      <x:c r="R76" s="14"/>
      <x:c r="S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31"/>
      <x:c r="Q77" s="14"/>
      <x:c r="R77" s="14"/>
      <x:c r="S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31"/>
      <x:c r="Q78" s="14"/>
      <x:c r="R78" s="14"/>
      <x:c r="S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31"/>
      <x:c r="Q79" s="14"/>
      <x:c r="R79" s="14"/>
      <x:c r="S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31"/>
      <x:c r="Q80" s="14"/>
      <x:c r="R80" s="14"/>
      <x:c r="S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31"/>
      <x:c r="Q81" s="14"/>
      <x:c r="R81" s="14"/>
      <x:c r="S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31"/>
      <x:c r="Q82" s="14"/>
      <x:c r="R82" s="14"/>
      <x:c r="S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31"/>
      <x:c r="Q83" s="14"/>
      <x:c r="R83" s="14"/>
      <x:c r="S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31"/>
      <x:c r="Q84" s="14"/>
      <x:c r="R84" s="14"/>
      <x:c r="S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31"/>
      <x:c r="Q85" s="14"/>
      <x:c r="R85" s="14"/>
      <x:c r="S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31"/>
      <x:c r="Q86" s="14"/>
      <x:c r="R86" s="14"/>
      <x:c r="S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31"/>
      <x:c r="Q87" s="14"/>
      <x:c r="R87" s="14"/>
      <x:c r="S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31"/>
      <x:c r="Q88" s="14"/>
      <x:c r="R88" s="14"/>
      <x:c r="S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31"/>
      <x:c r="Q89" s="14"/>
      <x:c r="R89" s="14"/>
      <x:c r="S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31"/>
      <x:c r="Q90" s="14"/>
      <x:c r="R90" s="14"/>
      <x:c r="S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31"/>
      <x:c r="Q91" s="14"/>
      <x:c r="R91" s="14"/>
      <x:c r="S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31"/>
      <x:c r="Q92" s="14"/>
      <x:c r="R92" s="14"/>
      <x:c r="S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31"/>
      <x:c r="Q93" s="14"/>
      <x:c r="R93" s="14"/>
      <x:c r="S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31"/>
      <x:c r="Q94" s="14"/>
      <x:c r="R94" s="14"/>
      <x:c r="S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31"/>
      <x:c r="Q95" s="14"/>
      <x:c r="R95" s="14"/>
      <x:c r="S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31"/>
      <x:c r="Q96" s="14"/>
      <x:c r="R96" s="14"/>
      <x:c r="S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31"/>
      <x:c r="Q97" s="14"/>
      <x:c r="R97" s="14"/>
      <x:c r="S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31"/>
      <x:c r="Q98" s="14"/>
      <x:c r="R98" s="14"/>
      <x:c r="S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31"/>
      <x:c r="Q99" s="14"/>
      <x:c r="R99" s="14"/>
      <x:c r="S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31"/>
      <x:c r="Q100" s="14"/>
      <x:c r="R100" s="14"/>
      <x:c r="S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31"/>
      <x:c r="Q101" s="14"/>
      <x:c r="R101" s="14"/>
      <x:c r="S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31"/>
      <x:c r="Q102" s="14"/>
      <x:c r="R102" s="14"/>
      <x:c r="S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31"/>
      <x:c r="Q103" s="14"/>
      <x:c r="R103" s="14"/>
      <x:c r="S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31"/>
      <x:c r="Q104" s="14"/>
      <x:c r="R104" s="14"/>
      <x:c r="S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31"/>
      <x:c r="Q105" s="14"/>
      <x:c r="R105" s="14"/>
      <x:c r="S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31"/>
      <x:c r="Q106" s="14"/>
      <x:c r="R106" s="14"/>
      <x:c r="S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31"/>
      <x:c r="Q107" s="14"/>
      <x:c r="R107" s="14"/>
      <x:c r="S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31"/>
      <x:c r="Q108" s="14"/>
      <x:c r="R108" s="14"/>
      <x:c r="S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31"/>
      <x:c r="Q109" s="14"/>
      <x:c r="R109" s="14"/>
      <x:c r="S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31"/>
      <x:c r="Q110" s="14"/>
      <x:c r="R110" s="14"/>
      <x:c r="S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31"/>
      <x:c r="Q111" s="14"/>
      <x:c r="R111" s="14"/>
      <x:c r="S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31"/>
      <x:c r="Q112" s="14"/>
      <x:c r="R112" s="14"/>
      <x:c r="S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31"/>
      <x:c r="Q113" s="14"/>
      <x:c r="R113" s="14"/>
      <x:c r="S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31"/>
      <x:c r="Q114" s="14"/>
      <x:c r="R114" s="14"/>
      <x:c r="S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31"/>
      <x:c r="Q115" s="14"/>
      <x:c r="R115" s="14"/>
      <x:c r="S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31"/>
      <x:c r="Q116" s="14"/>
      <x:c r="R116" s="14"/>
      <x:c r="S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31"/>
      <x:c r="Q117" s="14"/>
      <x:c r="R117" s="14"/>
      <x:c r="S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31"/>
      <x:c r="Q118" s="14"/>
      <x:c r="R118" s="14"/>
      <x:c r="S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31"/>
      <x:c r="Q119" s="14"/>
      <x:c r="R119" s="14"/>
      <x:c r="S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31"/>
      <x:c r="Q120" s="14"/>
      <x:c r="R120" s="14"/>
      <x:c r="S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31"/>
      <x:c r="Q121" s="14"/>
      <x:c r="R121" s="14"/>
      <x:c r="S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31"/>
      <x:c r="Q122" s="14"/>
      <x:c r="R122" s="14"/>
      <x:c r="S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31"/>
      <x:c r="Q123" s="14"/>
      <x:c r="R123" s="14"/>
      <x:c r="S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31"/>
      <x:c r="Q124" s="14"/>
      <x:c r="R124" s="14"/>
      <x:c r="S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31"/>
      <x:c r="Q125" s="14"/>
      <x:c r="R125" s="14"/>
      <x:c r="S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31"/>
      <x:c r="Q126" s="14"/>
      <x:c r="R126" s="14"/>
      <x:c r="S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31"/>
      <x:c r="Q127" s="14"/>
      <x:c r="R127" s="14"/>
      <x:c r="S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31"/>
      <x:c r="Q128" s="14"/>
      <x:c r="R128" s="14"/>
      <x:c r="S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31"/>
      <x:c r="Q129" s="14"/>
      <x:c r="R129" s="14"/>
      <x:c r="S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31"/>
      <x:c r="Q130" s="14"/>
      <x:c r="R130" s="14"/>
      <x:c r="S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31"/>
      <x:c r="Q131" s="14"/>
      <x:c r="R131" s="14"/>
      <x:c r="S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31"/>
      <x:c r="Q132" s="14"/>
      <x:c r="R132" s="14"/>
      <x:c r="S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31"/>
      <x:c r="Q133" s="14"/>
      <x:c r="R133" s="14"/>
      <x:c r="S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31"/>
      <x:c r="Q134" s="14"/>
      <x:c r="R134" s="14"/>
      <x:c r="S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31"/>
      <x:c r="Q135" s="14"/>
      <x:c r="R135" s="14"/>
      <x:c r="S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31"/>
      <x:c r="Q136" s="14"/>
      <x:c r="R136" s="14"/>
      <x:c r="S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31"/>
      <x:c r="Q137" s="14"/>
      <x:c r="R137" s="14"/>
      <x:c r="S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31"/>
      <x:c r="Q138" s="14"/>
      <x:c r="R138" s="14"/>
      <x:c r="S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31"/>
      <x:c r="Q139" s="14"/>
      <x:c r="R139" s="14"/>
      <x:c r="S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31"/>
      <x:c r="Q140" s="14"/>
      <x:c r="R140" s="14"/>
      <x:c r="S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31"/>
      <x:c r="Q141" s="14"/>
      <x:c r="R141" s="14"/>
      <x:c r="S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31"/>
      <x:c r="Q142" s="14"/>
      <x:c r="R142" s="14"/>
      <x:c r="S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31"/>
      <x:c r="Q143" s="14"/>
      <x:c r="R143" s="14"/>
      <x:c r="S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31"/>
      <x:c r="Q144" s="14"/>
      <x:c r="R144" s="14"/>
      <x:c r="S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31"/>
      <x:c r="Q145" s="14"/>
      <x:c r="R145" s="14"/>
      <x:c r="S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31"/>
      <x:c r="Q146" s="14"/>
      <x:c r="R146" s="14"/>
      <x:c r="S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31"/>
      <x:c r="Q147" s="14"/>
      <x:c r="R147" s="14"/>
      <x:c r="S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31"/>
      <x:c r="Q148" s="14"/>
      <x:c r="R148" s="14"/>
      <x:c r="S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31"/>
      <x:c r="Q149" s="14"/>
      <x:c r="R149" s="14"/>
      <x:c r="S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31"/>
      <x:c r="Q150" s="14"/>
      <x:c r="R150" s="14"/>
      <x:c r="S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31"/>
      <x:c r="Q151" s="14"/>
      <x:c r="R151" s="14"/>
      <x:c r="S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31"/>
      <x:c r="Q152" s="14"/>
      <x:c r="R152" s="14"/>
      <x:c r="S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31"/>
      <x:c r="Q153" s="14"/>
      <x:c r="R153" s="14"/>
      <x:c r="S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31"/>
      <x:c r="Q154" s="14"/>
      <x:c r="R154" s="14"/>
      <x:c r="S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31"/>
      <x:c r="Q155" s="14"/>
      <x:c r="R155" s="14"/>
      <x:c r="S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31"/>
      <x:c r="Q156" s="14"/>
      <x:c r="R156" s="14"/>
      <x:c r="S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31"/>
      <x:c r="Q157" s="14"/>
      <x:c r="R157" s="14"/>
      <x:c r="S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31"/>
      <x:c r="Q158" s="14"/>
      <x:c r="R158" s="14"/>
      <x:c r="S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31"/>
      <x:c r="Q159" s="14"/>
      <x:c r="R159" s="14"/>
      <x:c r="S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31"/>
      <x:c r="Q160" s="14"/>
      <x:c r="R160" s="14"/>
      <x:c r="S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31"/>
      <x:c r="Q161" s="14"/>
      <x:c r="R161" s="14"/>
      <x:c r="S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31"/>
      <x:c r="Q162" s="14"/>
      <x:c r="R162" s="14"/>
      <x:c r="S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31"/>
      <x:c r="Q163" s="14"/>
      <x:c r="R163" s="14"/>
      <x:c r="S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31"/>
      <x:c r="Q164" s="14"/>
      <x:c r="R164" s="14"/>
      <x:c r="S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31"/>
      <x:c r="Q165" s="14"/>
      <x:c r="R165" s="14"/>
      <x:c r="S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31"/>
      <x:c r="Q166" s="14"/>
      <x:c r="R166" s="14"/>
      <x:c r="S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31"/>
      <x:c r="Q167" s="14"/>
      <x:c r="R167" s="14"/>
      <x:c r="S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31"/>
      <x:c r="Q168" s="14"/>
      <x:c r="R168" s="14"/>
      <x:c r="S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31"/>
      <x:c r="Q169" s="14"/>
      <x:c r="R169" s="14"/>
      <x:c r="S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31"/>
      <x:c r="Q170" s="14"/>
      <x:c r="R170" s="14"/>
      <x:c r="S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31"/>
      <x:c r="Q171" s="14"/>
      <x:c r="R171" s="14"/>
      <x:c r="S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31"/>
      <x:c r="Q172" s="14"/>
      <x:c r="R172" s="14"/>
      <x:c r="S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31"/>
      <x:c r="Q173" s="14"/>
      <x:c r="R173" s="14"/>
      <x:c r="S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31"/>
      <x:c r="Q174" s="14"/>
      <x:c r="R174" s="14"/>
      <x:c r="S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31"/>
      <x:c r="Q175" s="14"/>
      <x:c r="R175" s="14"/>
      <x:c r="S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31"/>
      <x:c r="Q176" s="14"/>
      <x:c r="R176" s="14"/>
      <x:c r="S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31"/>
      <x:c r="Q177" s="14"/>
      <x:c r="R177" s="14"/>
      <x:c r="S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31"/>
      <x:c r="Q178" s="14"/>
      <x:c r="R178" s="14"/>
      <x:c r="S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31"/>
      <x:c r="Q179" s="14"/>
      <x:c r="R179" s="14"/>
      <x:c r="S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31"/>
      <x:c r="Q180" s="14"/>
      <x:c r="R180" s="14"/>
      <x:c r="S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31"/>
      <x:c r="Q181" s="14"/>
      <x:c r="R181" s="14"/>
      <x:c r="S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31"/>
      <x:c r="Q182" s="14"/>
      <x:c r="R182" s="14"/>
      <x:c r="S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31"/>
      <x:c r="Q183" s="14"/>
      <x:c r="R183" s="14"/>
      <x:c r="S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31"/>
      <x:c r="Q184" s="14"/>
      <x:c r="R184" s="14"/>
      <x:c r="S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31"/>
      <x:c r="Q185" s="14"/>
      <x:c r="R185" s="14"/>
      <x:c r="S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31"/>
      <x:c r="Q186" s="14"/>
      <x:c r="R186" s="14"/>
      <x:c r="S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31"/>
      <x:c r="Q187" s="14"/>
      <x:c r="R187" s="14"/>
      <x:c r="S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31"/>
      <x:c r="Q188" s="14"/>
      <x:c r="R188" s="14"/>
      <x:c r="S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31"/>
      <x:c r="Q189" s="14"/>
      <x:c r="R189" s="14"/>
      <x:c r="S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31"/>
      <x:c r="Q190" s="14"/>
      <x:c r="R190" s="14"/>
      <x:c r="S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31"/>
      <x:c r="Q191" s="14"/>
      <x:c r="R191" s="14"/>
      <x:c r="S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31"/>
      <x:c r="Q192" s="14"/>
      <x:c r="R192" s="14"/>
      <x:c r="S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31"/>
      <x:c r="Q193" s="14"/>
      <x:c r="R193" s="14"/>
      <x:c r="S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31"/>
      <x:c r="Q194" s="14"/>
      <x:c r="R194" s="14"/>
      <x:c r="S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31"/>
      <x:c r="Q195" s="14"/>
      <x:c r="R195" s="14"/>
      <x:c r="S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31"/>
      <x:c r="Q196" s="14"/>
      <x:c r="R196" s="14"/>
      <x:c r="S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31"/>
      <x:c r="Q197" s="14"/>
      <x:c r="R197" s="14"/>
      <x:c r="S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31"/>
      <x:c r="Q198" s="14"/>
      <x:c r="R198" s="14"/>
      <x:c r="S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31"/>
      <x:c r="Q199" s="14"/>
      <x:c r="R199" s="14"/>
      <x:c r="S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31"/>
      <x:c r="Q200" s="14"/>
      <x:c r="R200" s="14"/>
      <x:c r="S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31"/>
      <x:c r="Q201" s="14"/>
      <x:c r="R201" s="14"/>
      <x:c r="S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31"/>
      <x:c r="Q202" s="14"/>
      <x:c r="R202" s="14"/>
      <x:c r="S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31"/>
      <x:c r="Q203" s="14"/>
      <x:c r="R203" s="14"/>
      <x:c r="S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31"/>
      <x:c r="Q204" s="14"/>
      <x:c r="R204" s="14"/>
      <x:c r="S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31"/>
      <x:c r="Q205" s="14"/>
      <x:c r="R205" s="14"/>
      <x:c r="S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31"/>
      <x:c r="Q206" s="14"/>
      <x:c r="R206" s="14"/>
      <x:c r="S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31"/>
      <x:c r="Q207" s="14"/>
      <x:c r="R207" s="14"/>
      <x:c r="S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31"/>
      <x:c r="Q208" s="14"/>
      <x:c r="R208" s="14"/>
      <x:c r="S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31"/>
      <x:c r="Q209" s="14"/>
      <x:c r="R209" s="14"/>
      <x:c r="S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31"/>
      <x:c r="Q210" s="14"/>
      <x:c r="R210" s="14"/>
      <x:c r="S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31"/>
      <x:c r="Q211" s="14"/>
      <x:c r="R211" s="14"/>
      <x:c r="S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31"/>
      <x:c r="Q212" s="14"/>
      <x:c r="R212" s="14"/>
      <x:c r="S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31"/>
      <x:c r="Q213" s="14"/>
      <x:c r="R213" s="14"/>
      <x:c r="S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31"/>
      <x:c r="Q214" s="14"/>
      <x:c r="R214" s="14"/>
      <x:c r="S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31"/>
      <x:c r="Q215" s="14"/>
      <x:c r="R215" s="14"/>
      <x:c r="S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31"/>
      <x:c r="Q216" s="14"/>
      <x:c r="R216" s="14"/>
      <x:c r="S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31"/>
      <x:c r="Q217" s="14"/>
      <x:c r="R217" s="14"/>
      <x:c r="S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31"/>
      <x:c r="Q218" s="14"/>
      <x:c r="R218" s="14"/>
      <x:c r="S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31"/>
      <x:c r="Q219" s="14"/>
      <x:c r="R219" s="14"/>
      <x:c r="S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31"/>
      <x:c r="Q220" s="14"/>
      <x:c r="R220" s="14"/>
      <x:c r="S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31"/>
      <x:c r="Q221" s="14"/>
      <x:c r="R221" s="14"/>
      <x:c r="S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31"/>
      <x:c r="Q222" s="14"/>
      <x:c r="R222" s="14"/>
      <x:c r="S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31"/>
      <x:c r="Q223" s="14"/>
      <x:c r="R223" s="14"/>
      <x:c r="S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31"/>
      <x:c r="Q224" s="14"/>
      <x:c r="R224" s="14"/>
      <x:c r="S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31"/>
      <x:c r="Q225" s="14"/>
      <x:c r="R225" s="14"/>
      <x:c r="S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31"/>
      <x:c r="Q226" s="14"/>
      <x:c r="R226" s="14"/>
      <x:c r="S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31"/>
      <x:c r="Q227" s="14"/>
      <x:c r="R227" s="14"/>
      <x:c r="S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31"/>
      <x:c r="Q228" s="14"/>
      <x:c r="R228" s="14"/>
      <x:c r="S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31"/>
      <x:c r="Q229" s="14"/>
      <x:c r="R229" s="14"/>
      <x:c r="S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31"/>
      <x:c r="Q230" s="14"/>
      <x:c r="R230" s="14"/>
      <x:c r="S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31"/>
      <x:c r="Q231" s="14"/>
      <x:c r="R231" s="14"/>
      <x:c r="S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31"/>
      <x:c r="Q232" s="14"/>
      <x:c r="R232" s="14"/>
      <x:c r="S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31"/>
      <x:c r="Q233" s="14"/>
      <x:c r="R233" s="14"/>
      <x:c r="S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31"/>
      <x:c r="Q234" s="14"/>
      <x:c r="R234" s="14"/>
      <x:c r="S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31"/>
      <x:c r="Q235" s="14"/>
      <x:c r="R235" s="14"/>
      <x:c r="S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31"/>
      <x:c r="Q236" s="14"/>
      <x:c r="R236" s="14"/>
      <x:c r="S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31"/>
      <x:c r="Q237" s="14"/>
      <x:c r="R237" s="14"/>
      <x:c r="S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31"/>
      <x:c r="Q238" s="14"/>
      <x:c r="R238" s="14"/>
      <x:c r="S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31"/>
      <x:c r="Q239" s="14"/>
      <x:c r="R239" s="14"/>
      <x:c r="S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31"/>
      <x:c r="Q240" s="14"/>
      <x:c r="R240" s="14"/>
      <x:c r="S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31"/>
      <x:c r="Q241" s="14"/>
      <x:c r="R241" s="14"/>
      <x:c r="S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31"/>
      <x:c r="Q242" s="14"/>
      <x:c r="R242" s="14"/>
      <x:c r="S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31"/>
      <x:c r="Q243" s="14"/>
      <x:c r="R243" s="14"/>
      <x:c r="S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31"/>
      <x:c r="Q244" s="14"/>
      <x:c r="R244" s="14"/>
      <x:c r="S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31"/>
      <x:c r="Q245" s="14"/>
      <x:c r="R245" s="14"/>
      <x:c r="S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31"/>
      <x:c r="Q246" s="14"/>
      <x:c r="R246" s="14"/>
      <x:c r="S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31"/>
      <x:c r="Q247" s="14"/>
      <x:c r="R247" s="14"/>
      <x:c r="S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31"/>
      <x:c r="Q248" s="14"/>
      <x:c r="R248" s="14"/>
      <x:c r="S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31"/>
      <x:c r="Q249" s="14"/>
      <x:c r="R249" s="14"/>
      <x:c r="S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31"/>
      <x:c r="Q250" s="14"/>
      <x:c r="R250" s="14"/>
      <x:c r="S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31"/>
      <x:c r="Q251" s="14"/>
      <x:c r="R251" s="14"/>
      <x:c r="S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31"/>
      <x:c r="Q252" s="14"/>
      <x:c r="R252" s="14"/>
      <x:c r="S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31"/>
      <x:c r="Q253" s="14"/>
      <x:c r="R253" s="14"/>
      <x:c r="S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31"/>
      <x:c r="Q254" s="14"/>
      <x:c r="R254" s="14"/>
      <x:c r="S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31"/>
      <x:c r="Q255" s="14"/>
      <x:c r="R255" s="14"/>
      <x:c r="S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31"/>
      <x:c r="Q256" s="14"/>
      <x:c r="R256" s="14"/>
      <x:c r="S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31"/>
      <x:c r="Q257" s="14"/>
      <x:c r="R257" s="14"/>
      <x:c r="S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31"/>
      <x:c r="Q258" s="14"/>
      <x:c r="R258" s="14"/>
      <x:c r="S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31"/>
      <x:c r="Q259" s="14"/>
      <x:c r="R259" s="14"/>
      <x:c r="S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31"/>
      <x:c r="Q260" s="14"/>
      <x:c r="R260" s="14"/>
      <x:c r="S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31"/>
      <x:c r="Q261" s="14"/>
      <x:c r="R261" s="14"/>
      <x:c r="S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31"/>
      <x:c r="Q262" s="14"/>
      <x:c r="R262" s="14"/>
      <x:c r="S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31"/>
      <x:c r="Q263" s="14"/>
      <x:c r="R263" s="14"/>
      <x:c r="S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31"/>
      <x:c r="Q264" s="14"/>
      <x:c r="R264" s="14"/>
      <x:c r="S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31"/>
      <x:c r="Q265" s="14"/>
      <x:c r="R265" s="14"/>
      <x:c r="S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31"/>
      <x:c r="Q266" s="14"/>
      <x:c r="R266" s="14"/>
      <x:c r="S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31"/>
      <x:c r="Q267" s="14"/>
      <x:c r="R267" s="14"/>
      <x:c r="S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31"/>
      <x:c r="Q268" s="14"/>
      <x:c r="R268" s="14"/>
      <x:c r="S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31"/>
      <x:c r="Q269" s="14"/>
      <x:c r="R269" s="14"/>
      <x:c r="S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31"/>
      <x:c r="Q270" s="14"/>
      <x:c r="R270" s="14"/>
      <x:c r="S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31"/>
      <x:c r="Q271" s="14"/>
      <x:c r="R271" s="14"/>
      <x:c r="S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31"/>
      <x:c r="Q272" s="14"/>
      <x:c r="R272" s="14"/>
      <x:c r="S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31"/>
      <x:c r="Q273" s="14"/>
      <x:c r="R273" s="14"/>
      <x:c r="S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31"/>
      <x:c r="Q274" s="14"/>
      <x:c r="R274" s="14"/>
      <x:c r="S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31"/>
      <x:c r="Q275" s="14"/>
      <x:c r="R275" s="14"/>
      <x:c r="S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31"/>
      <x:c r="Q276" s="14"/>
      <x:c r="R276" s="14"/>
      <x:c r="S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31"/>
      <x:c r="Q277" s="14"/>
      <x:c r="R277" s="14"/>
      <x:c r="S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31"/>
      <x:c r="Q278" s="14"/>
      <x:c r="R278" s="14"/>
      <x:c r="S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31"/>
      <x:c r="Q279" s="14"/>
      <x:c r="R279" s="14"/>
      <x:c r="S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31"/>
      <x:c r="Q280" s="14"/>
      <x:c r="R280" s="14"/>
      <x:c r="S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31"/>
      <x:c r="Q281" s="14"/>
      <x:c r="R281" s="14"/>
      <x:c r="S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31"/>
      <x:c r="Q282" s="14"/>
      <x:c r="R282" s="14"/>
      <x:c r="S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31"/>
      <x:c r="Q283" s="14"/>
      <x:c r="R283" s="14"/>
      <x:c r="S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31"/>
      <x:c r="Q284" s="14"/>
      <x:c r="R284" s="14"/>
      <x:c r="S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31"/>
      <x:c r="Q285" s="14"/>
      <x:c r="R285" s="14"/>
      <x:c r="S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31"/>
      <x:c r="Q286" s="14"/>
      <x:c r="R286" s="14"/>
      <x:c r="S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31"/>
      <x:c r="Q287" s="14"/>
      <x:c r="R287" s="14"/>
      <x:c r="S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31"/>
      <x:c r="Q288" s="14"/>
      <x:c r="R288" s="14"/>
      <x:c r="S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31"/>
      <x:c r="Q289" s="14"/>
      <x:c r="R289" s="14"/>
      <x:c r="S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31"/>
      <x:c r="Q290" s="14"/>
      <x:c r="R290" s="14"/>
      <x:c r="S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31"/>
      <x:c r="Q291" s="14"/>
      <x:c r="R291" s="14"/>
      <x:c r="S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31"/>
      <x:c r="Q292" s="14"/>
      <x:c r="R292" s="14"/>
      <x:c r="S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31"/>
      <x:c r="Q293" s="14"/>
      <x:c r="R293" s="14"/>
      <x:c r="S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31"/>
      <x:c r="Q294" s="14"/>
      <x:c r="R294" s="14"/>
      <x:c r="S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31"/>
      <x:c r="Q295" s="14"/>
      <x:c r="R295" s="14"/>
      <x:c r="S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31"/>
      <x:c r="Q296" s="14"/>
      <x:c r="R296" s="14"/>
      <x:c r="S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31"/>
      <x:c r="Q297" s="14"/>
      <x:c r="R297" s="14"/>
      <x:c r="S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31"/>
      <x:c r="Q298" s="14"/>
      <x:c r="R298" s="14"/>
      <x:c r="S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31"/>
      <x:c r="Q299" s="14"/>
      <x:c r="R299" s="14"/>
      <x:c r="S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31"/>
      <x:c r="Q300" s="14"/>
      <x:c r="R300" s="14"/>
      <x:c r="S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31"/>
      <x:c r="Q301" s="14"/>
      <x:c r="R301" s="14"/>
      <x:c r="S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31"/>
      <x:c r="Q302" s="14"/>
      <x:c r="R302" s="14"/>
      <x:c r="S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31"/>
      <x:c r="Q303" s="14"/>
      <x:c r="R303" s="14"/>
      <x:c r="S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31"/>
      <x:c r="Q304" s="14"/>
      <x:c r="R304" s="14"/>
      <x:c r="S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31"/>
      <x:c r="Q305" s="14"/>
      <x:c r="R305" s="14"/>
      <x:c r="S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31"/>
      <x:c r="Q306" s="14"/>
      <x:c r="R306" s="14"/>
      <x:c r="S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31"/>
      <x:c r="Q307" s="14"/>
      <x:c r="R307" s="14"/>
      <x:c r="S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31"/>
      <x:c r="Q308" s="14"/>
      <x:c r="R308" s="14"/>
      <x:c r="S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31"/>
      <x:c r="Q309" s="14"/>
      <x:c r="R309" s="14"/>
      <x:c r="S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31"/>
      <x:c r="Q310" s="14"/>
      <x:c r="R310" s="14"/>
      <x:c r="S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31"/>
      <x:c r="Q311" s="14"/>
      <x:c r="R311" s="14"/>
      <x:c r="S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31"/>
      <x:c r="Q312" s="14"/>
      <x:c r="R312" s="14"/>
      <x:c r="S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31"/>
      <x:c r="Q313" s="14"/>
      <x:c r="R313" s="14"/>
      <x:c r="S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31"/>
      <x:c r="Q314" s="14"/>
      <x:c r="R314" s="14"/>
      <x:c r="S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31"/>
      <x:c r="Q315" s="14"/>
      <x:c r="R315" s="14"/>
      <x:c r="S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31"/>
      <x:c r="Q316" s="14"/>
      <x:c r="R316" s="14"/>
      <x:c r="S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31"/>
      <x:c r="Q317" s="14"/>
      <x:c r="R317" s="14"/>
      <x:c r="S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31"/>
      <x:c r="Q318" s="14"/>
      <x:c r="R318" s="14"/>
      <x:c r="S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31"/>
      <x:c r="Q319" s="14"/>
      <x:c r="R319" s="14"/>
      <x:c r="S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31"/>
      <x:c r="Q320" s="14"/>
      <x:c r="R320" s="14"/>
      <x:c r="S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31"/>
      <x:c r="Q321" s="14"/>
      <x:c r="R321" s="14"/>
      <x:c r="S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31"/>
      <x:c r="Q322" s="14"/>
      <x:c r="R322" s="14"/>
      <x:c r="S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31"/>
      <x:c r="Q323" s="14"/>
      <x:c r="R323" s="14"/>
      <x:c r="S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31"/>
      <x:c r="Q324" s="14"/>
      <x:c r="R324" s="14"/>
      <x:c r="S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31"/>
      <x:c r="Q325" s="14"/>
      <x:c r="R325" s="14"/>
      <x:c r="S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31"/>
      <x:c r="Q326" s="14"/>
      <x:c r="R326" s="14"/>
      <x:c r="S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31"/>
      <x:c r="Q327" s="14"/>
      <x:c r="R327" s="14"/>
      <x:c r="S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31"/>
      <x:c r="Q328" s="14"/>
      <x:c r="R328" s="14"/>
      <x:c r="S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31"/>
      <x:c r="Q329" s="14"/>
      <x:c r="R329" s="14"/>
      <x:c r="S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31"/>
      <x:c r="Q330" s="14"/>
      <x:c r="R330" s="14"/>
      <x:c r="S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31"/>
      <x:c r="Q331" s="14"/>
      <x:c r="R331" s="14"/>
      <x:c r="S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31"/>
      <x:c r="Q332" s="14"/>
      <x:c r="R332" s="14"/>
      <x:c r="S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31"/>
      <x:c r="Q333" s="14"/>
      <x:c r="R333" s="14"/>
      <x:c r="S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31"/>
      <x:c r="Q334" s="14"/>
      <x:c r="R334" s="14"/>
      <x:c r="S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31"/>
      <x:c r="Q335" s="14"/>
      <x:c r="R335" s="14"/>
      <x:c r="S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31"/>
      <x:c r="Q336" s="14"/>
      <x:c r="R336" s="14"/>
      <x:c r="S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31"/>
      <x:c r="Q337" s="14"/>
      <x:c r="R337" s="14"/>
      <x:c r="S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31"/>
      <x:c r="Q338" s="14"/>
      <x:c r="R338" s="14"/>
      <x:c r="S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31"/>
      <x:c r="Q339" s="14"/>
      <x:c r="R339" s="14"/>
      <x:c r="S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31"/>
      <x:c r="Q340" s="14"/>
      <x:c r="R340" s="14"/>
      <x:c r="S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31"/>
      <x:c r="Q341" s="14"/>
      <x:c r="R341" s="14"/>
      <x:c r="S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31"/>
      <x:c r="Q342" s="14"/>
      <x:c r="R342" s="14"/>
      <x:c r="S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31"/>
      <x:c r="Q343" s="14"/>
      <x:c r="R343" s="14"/>
      <x:c r="S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31"/>
      <x:c r="Q344" s="14"/>
      <x:c r="R344" s="14"/>
      <x:c r="S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31"/>
      <x:c r="Q345" s="14"/>
      <x:c r="R345" s="14"/>
      <x:c r="S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31"/>
      <x:c r="Q346" s="14"/>
      <x:c r="R346" s="14"/>
      <x:c r="S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31"/>
      <x:c r="Q347" s="14"/>
      <x:c r="R347" s="14"/>
      <x:c r="S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31"/>
      <x:c r="Q348" s="14"/>
      <x:c r="R348" s="14"/>
      <x:c r="S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31"/>
      <x:c r="Q349" s="14"/>
      <x:c r="R349" s="14"/>
      <x:c r="S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31"/>
      <x:c r="Q350" s="14"/>
      <x:c r="R350" s="14"/>
      <x:c r="S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31"/>
      <x:c r="Q351" s="14"/>
      <x:c r="R351" s="14"/>
      <x:c r="S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31"/>
      <x:c r="Q352" s="14"/>
      <x:c r="R352" s="14"/>
      <x:c r="S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31"/>
      <x:c r="Q353" s="14"/>
      <x:c r="R353" s="14"/>
      <x:c r="S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31"/>
      <x:c r="Q354" s="14"/>
      <x:c r="R354" s="14"/>
      <x:c r="S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31"/>
      <x:c r="Q355" s="14"/>
      <x:c r="R355" s="14"/>
      <x:c r="S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31"/>
      <x:c r="Q356" s="14"/>
      <x:c r="R356" s="14"/>
      <x:c r="S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31"/>
      <x:c r="Q357" s="14"/>
      <x:c r="R357" s="14"/>
      <x:c r="S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31"/>
      <x:c r="Q358" s="14"/>
      <x:c r="R358" s="14"/>
      <x:c r="S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31"/>
      <x:c r="Q359" s="14"/>
      <x:c r="R359" s="14"/>
      <x:c r="S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31"/>
      <x:c r="Q360" s="14"/>
      <x:c r="R360" s="14"/>
      <x:c r="S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31"/>
      <x:c r="Q361" s="14"/>
      <x:c r="R361" s="14"/>
      <x:c r="S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31"/>
      <x:c r="Q362" s="14"/>
      <x:c r="R362" s="14"/>
      <x:c r="S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31"/>
      <x:c r="Q363" s="14"/>
      <x:c r="R363" s="14"/>
      <x:c r="S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31"/>
      <x:c r="Q364" s="14"/>
      <x:c r="R364" s="14"/>
      <x:c r="S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31"/>
      <x:c r="Q365" s="14"/>
      <x:c r="R365" s="14"/>
      <x:c r="S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31"/>
      <x:c r="Q366" s="14"/>
      <x:c r="R366" s="14"/>
      <x:c r="S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31"/>
      <x:c r="Q367" s="14"/>
      <x:c r="R367" s="14"/>
      <x:c r="S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31"/>
      <x:c r="Q368" s="14"/>
      <x:c r="R368" s="14"/>
      <x:c r="S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31"/>
      <x:c r="Q369" s="14"/>
      <x:c r="R369" s="14"/>
      <x:c r="S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31"/>
      <x:c r="Q370" s="14"/>
      <x:c r="R370" s="14"/>
      <x:c r="S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31"/>
      <x:c r="Q371" s="14"/>
      <x:c r="R371" s="14"/>
      <x:c r="S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31"/>
      <x:c r="Q372" s="14"/>
      <x:c r="R372" s="14"/>
      <x:c r="S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31"/>
      <x:c r="Q373" s="14"/>
      <x:c r="R373" s="14"/>
      <x:c r="S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31"/>
      <x:c r="Q374" s="14"/>
      <x:c r="R374" s="14"/>
      <x:c r="S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31"/>
      <x:c r="Q375" s="14"/>
      <x:c r="R375" s="14"/>
      <x:c r="S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31"/>
      <x:c r="Q376" s="14"/>
      <x:c r="R376" s="14"/>
      <x:c r="S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31"/>
      <x:c r="Q377" s="14"/>
      <x:c r="R377" s="14"/>
      <x:c r="S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31"/>
      <x:c r="Q378" s="14"/>
      <x:c r="R378" s="14"/>
      <x:c r="S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31"/>
      <x:c r="Q379" s="14"/>
      <x:c r="R379" s="14"/>
      <x:c r="S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31"/>
      <x:c r="Q380" s="14"/>
      <x:c r="R380" s="14"/>
      <x:c r="S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31"/>
      <x:c r="Q381" s="14"/>
      <x:c r="R381" s="14"/>
      <x:c r="S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31"/>
      <x:c r="Q382" s="14"/>
      <x:c r="R382" s="14"/>
      <x:c r="S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31"/>
      <x:c r="Q383" s="14"/>
      <x:c r="R383" s="14"/>
      <x:c r="S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31"/>
      <x:c r="Q384" s="14"/>
      <x:c r="R384" s="14"/>
      <x:c r="S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31"/>
      <x:c r="Q385" s="14"/>
      <x:c r="R385" s="14"/>
      <x:c r="S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31"/>
      <x:c r="Q386" s="14"/>
      <x:c r="R386" s="14"/>
      <x:c r="S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31"/>
      <x:c r="Q387" s="14"/>
      <x:c r="R387" s="14"/>
      <x:c r="S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31"/>
      <x:c r="Q388" s="14"/>
      <x:c r="R388" s="14"/>
      <x:c r="S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31"/>
      <x:c r="Q389" s="14"/>
      <x:c r="R389" s="14"/>
      <x:c r="S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31"/>
      <x:c r="Q390" s="14"/>
      <x:c r="R390" s="14"/>
      <x:c r="S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31"/>
      <x:c r="Q391" s="14"/>
      <x:c r="R391" s="14"/>
      <x:c r="S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31"/>
      <x:c r="Q392" s="14"/>
      <x:c r="R392" s="14"/>
      <x:c r="S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31"/>
      <x:c r="Q393" s="14"/>
      <x:c r="R393" s="14"/>
      <x:c r="S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31"/>
      <x:c r="Q394" s="14"/>
      <x:c r="R394" s="14"/>
      <x:c r="S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31"/>
      <x:c r="Q395" s="14"/>
      <x:c r="R395" s="14"/>
      <x:c r="S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31"/>
      <x:c r="Q396" s="14"/>
      <x:c r="R396" s="14"/>
      <x:c r="S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31"/>
      <x:c r="Q397" s="14"/>
      <x:c r="R397" s="14"/>
      <x:c r="S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31"/>
      <x:c r="Q398" s="14"/>
      <x:c r="R398" s="14"/>
      <x:c r="S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31"/>
      <x:c r="Q399" s="14"/>
      <x:c r="R399" s="14"/>
      <x:c r="S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31"/>
      <x:c r="Q400" s="14"/>
      <x:c r="R400" s="14"/>
      <x:c r="S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31"/>
      <x:c r="Q401" s="14"/>
      <x:c r="R401" s="14"/>
      <x:c r="S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31"/>
      <x:c r="Q402" s="14"/>
      <x:c r="R402" s="14"/>
      <x:c r="S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31"/>
      <x:c r="Q403" s="14"/>
      <x:c r="R403" s="14"/>
      <x:c r="S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31"/>
      <x:c r="Q404" s="14"/>
      <x:c r="R404" s="14"/>
      <x:c r="S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31"/>
      <x:c r="Q405" s="14"/>
      <x:c r="R405" s="14"/>
      <x:c r="S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31"/>
      <x:c r="Q406" s="14"/>
      <x:c r="R406" s="14"/>
      <x:c r="S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31"/>
      <x:c r="Q407" s="14"/>
      <x:c r="R407" s="14"/>
      <x:c r="S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31"/>
      <x:c r="Q408" s="14"/>
      <x:c r="R408" s="14"/>
      <x:c r="S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31"/>
      <x:c r="Q409" s="14"/>
      <x:c r="R409" s="14"/>
      <x:c r="S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31"/>
      <x:c r="Q410" s="14"/>
      <x:c r="R410" s="14"/>
      <x:c r="S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31"/>
      <x:c r="Q411" s="14"/>
      <x:c r="R411" s="14"/>
      <x:c r="S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31"/>
      <x:c r="Q412" s="14"/>
      <x:c r="R412" s="14"/>
      <x:c r="S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31"/>
      <x:c r="Q413" s="14"/>
      <x:c r="R413" s="14"/>
      <x:c r="S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31"/>
      <x:c r="Q414" s="14"/>
      <x:c r="R414" s="14"/>
      <x:c r="S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31"/>
      <x:c r="Q415" s="14"/>
      <x:c r="R415" s="14"/>
      <x:c r="S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31"/>
      <x:c r="Q416" s="14"/>
      <x:c r="R416" s="14"/>
      <x:c r="S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31"/>
      <x:c r="Q417" s="14"/>
      <x:c r="R417" s="14"/>
      <x:c r="S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31"/>
      <x:c r="Q418" s="14"/>
      <x:c r="R418" s="14"/>
      <x:c r="S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31"/>
      <x:c r="Q419" s="14"/>
      <x:c r="R419" s="14"/>
      <x:c r="S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31"/>
      <x:c r="Q420" s="14"/>
      <x:c r="R420" s="14"/>
      <x:c r="S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31"/>
      <x:c r="Q421" s="14"/>
      <x:c r="R421" s="14"/>
      <x:c r="S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31"/>
      <x:c r="Q422" s="14"/>
      <x:c r="R422" s="14"/>
      <x:c r="S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31"/>
      <x:c r="Q423" s="14"/>
      <x:c r="R423" s="14"/>
      <x:c r="S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31"/>
      <x:c r="Q424" s="14"/>
      <x:c r="R424" s="14"/>
      <x:c r="S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31"/>
      <x:c r="Q425" s="14"/>
      <x:c r="R425" s="14"/>
      <x:c r="S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31"/>
      <x:c r="Q426" s="14"/>
      <x:c r="R426" s="14"/>
      <x:c r="S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31"/>
      <x:c r="Q427" s="14"/>
      <x:c r="R427" s="14"/>
      <x:c r="S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31"/>
      <x:c r="Q428" s="14"/>
      <x:c r="R428" s="14"/>
      <x:c r="S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31"/>
      <x:c r="Q429" s="14"/>
      <x:c r="R429" s="14"/>
      <x:c r="S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31"/>
      <x:c r="Q430" s="14"/>
      <x:c r="R430" s="14"/>
      <x:c r="S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31"/>
      <x:c r="Q431" s="14"/>
      <x:c r="R431" s="14"/>
      <x:c r="S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31"/>
      <x:c r="Q432" s="14"/>
      <x:c r="R432" s="14"/>
      <x:c r="S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31"/>
      <x:c r="Q433" s="14"/>
      <x:c r="R433" s="14"/>
      <x:c r="S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31"/>
      <x:c r="Q434" s="14"/>
      <x:c r="R434" s="14"/>
      <x:c r="S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31"/>
      <x:c r="Q435" s="14"/>
      <x:c r="R435" s="14"/>
      <x:c r="S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31"/>
      <x:c r="Q436" s="14"/>
      <x:c r="R436" s="14"/>
      <x:c r="S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31"/>
      <x:c r="Q437" s="14"/>
      <x:c r="R437" s="14"/>
      <x:c r="S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31"/>
      <x:c r="Q438" s="14"/>
      <x:c r="R438" s="14"/>
      <x:c r="S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31"/>
      <x:c r="Q439" s="14"/>
      <x:c r="R439" s="14"/>
      <x:c r="S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31"/>
      <x:c r="Q440" s="14"/>
      <x:c r="R440" s="14"/>
      <x:c r="S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31"/>
      <x:c r="Q441" s="14"/>
      <x:c r="R441" s="14"/>
      <x:c r="S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31"/>
      <x:c r="Q442" s="14"/>
      <x:c r="R442" s="14"/>
      <x:c r="S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31"/>
      <x:c r="Q443" s="14"/>
      <x:c r="R443" s="14"/>
      <x:c r="S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31"/>
      <x:c r="Q444" s="14"/>
      <x:c r="R444" s="14"/>
      <x:c r="S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31"/>
      <x:c r="Q445" s="14"/>
      <x:c r="R445" s="14"/>
      <x:c r="S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31"/>
      <x:c r="Q446" s="14"/>
      <x:c r="R446" s="14"/>
      <x:c r="S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31"/>
      <x:c r="Q447" s="14"/>
      <x:c r="R447" s="14"/>
      <x:c r="S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31"/>
      <x:c r="Q448" s="14"/>
      <x:c r="R448" s="14"/>
      <x:c r="S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31"/>
      <x:c r="Q449" s="14"/>
      <x:c r="R449" s="14"/>
      <x:c r="S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31"/>
      <x:c r="Q450" s="14"/>
      <x:c r="R450" s="14"/>
      <x:c r="S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31"/>
      <x:c r="Q451" s="14"/>
      <x:c r="R451" s="14"/>
      <x:c r="S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31"/>
      <x:c r="Q452" s="14"/>
      <x:c r="R452" s="14"/>
      <x:c r="S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31"/>
      <x:c r="Q453" s="14"/>
      <x:c r="R453" s="14"/>
      <x:c r="S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31"/>
      <x:c r="Q454" s="14"/>
      <x:c r="R454" s="14"/>
      <x:c r="S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31"/>
      <x:c r="Q455" s="14"/>
      <x:c r="R455" s="14"/>
      <x:c r="S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31"/>
      <x:c r="Q456" s="14"/>
      <x:c r="R456" s="14"/>
      <x:c r="S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31"/>
      <x:c r="Q457" s="14"/>
      <x:c r="R457" s="14"/>
      <x:c r="S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31"/>
      <x:c r="Q458" s="14"/>
      <x:c r="R458" s="14"/>
      <x:c r="S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31"/>
      <x:c r="Q459" s="14"/>
      <x:c r="R459" s="14"/>
      <x:c r="S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31"/>
      <x:c r="Q460" s="14"/>
      <x:c r="R460" s="14"/>
      <x:c r="S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31"/>
      <x:c r="Q461" s="14"/>
      <x:c r="R461" s="14"/>
      <x:c r="S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31"/>
      <x:c r="Q462" s="14"/>
      <x:c r="R462" s="14"/>
      <x:c r="S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31"/>
      <x:c r="Q463" s="14"/>
      <x:c r="R463" s="14"/>
      <x:c r="S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31"/>
      <x:c r="Q464" s="14"/>
      <x:c r="R464" s="14"/>
      <x:c r="S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31"/>
      <x:c r="Q465" s="14"/>
      <x:c r="R465" s="14"/>
      <x:c r="S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31"/>
      <x:c r="Q466" s="14"/>
      <x:c r="R466" s="14"/>
      <x:c r="S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31"/>
      <x:c r="Q467" s="14"/>
      <x:c r="R467" s="14"/>
      <x:c r="S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31"/>
      <x:c r="Q468" s="14"/>
      <x:c r="R468" s="14"/>
      <x:c r="S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31"/>
      <x:c r="Q469" s="14"/>
      <x:c r="R469" s="14"/>
      <x:c r="S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31"/>
      <x:c r="Q470" s="14"/>
      <x:c r="R470" s="14"/>
      <x:c r="S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31"/>
      <x:c r="Q471" s="14"/>
      <x:c r="R471" s="14"/>
      <x:c r="S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31"/>
      <x:c r="Q472" s="14"/>
      <x:c r="R472" s="14"/>
      <x:c r="S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31"/>
      <x:c r="Q473" s="14"/>
      <x:c r="R473" s="14"/>
      <x:c r="S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31"/>
      <x:c r="Q474" s="14"/>
      <x:c r="R474" s="14"/>
      <x:c r="S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31"/>
      <x:c r="Q475" s="14"/>
      <x:c r="R475" s="14"/>
      <x:c r="S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31"/>
      <x:c r="Q476" s="14"/>
      <x:c r="R476" s="14"/>
      <x:c r="S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31"/>
      <x:c r="Q477" s="14"/>
      <x:c r="R477" s="14"/>
      <x:c r="S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31"/>
      <x:c r="Q478" s="14"/>
      <x:c r="R478" s="14"/>
      <x:c r="S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31"/>
      <x:c r="Q479" s="14"/>
      <x:c r="R479" s="14"/>
      <x:c r="S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31"/>
      <x:c r="Q480" s="14"/>
      <x:c r="R480" s="14"/>
      <x:c r="S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31"/>
      <x:c r="Q481" s="14"/>
      <x:c r="R481" s="14"/>
      <x:c r="S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31"/>
      <x:c r="Q482" s="14"/>
      <x:c r="R482" s="14"/>
      <x:c r="S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31"/>
      <x:c r="Q483" s="14"/>
      <x:c r="R483" s="14"/>
      <x:c r="S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31"/>
      <x:c r="Q484" s="14"/>
      <x:c r="R484" s="14"/>
      <x:c r="S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31"/>
      <x:c r="Q485" s="14"/>
      <x:c r="R485" s="14"/>
      <x:c r="S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31"/>
      <x:c r="Q486" s="14"/>
      <x:c r="R486" s="14"/>
      <x:c r="S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31"/>
      <x:c r="Q487" s="14"/>
      <x:c r="R487" s="14"/>
      <x:c r="S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31"/>
      <x:c r="Q488" s="14"/>
      <x:c r="R488" s="14"/>
      <x:c r="S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31"/>
      <x:c r="Q489" s="14"/>
      <x:c r="R489" s="14"/>
      <x:c r="S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31"/>
      <x:c r="Q490" s="14"/>
      <x:c r="R490" s="14"/>
      <x:c r="S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31"/>
      <x:c r="Q491" s="14"/>
      <x:c r="R491" s="14"/>
      <x:c r="S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31"/>
      <x:c r="Q492" s="14"/>
      <x:c r="R492" s="14"/>
      <x:c r="S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31"/>
      <x:c r="Q493" s="14"/>
      <x:c r="R493" s="14"/>
      <x:c r="S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31"/>
      <x:c r="Q494" s="14"/>
      <x:c r="R494" s="14"/>
      <x:c r="S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31"/>
      <x:c r="Q495" s="14"/>
      <x:c r="R495" s="14"/>
      <x:c r="S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31"/>
      <x:c r="Q496" s="14"/>
      <x:c r="R496" s="14"/>
      <x:c r="S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31"/>
      <x:c r="Q497" s="14"/>
      <x:c r="R497" s="14"/>
      <x:c r="S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31"/>
      <x:c r="Q498" s="14"/>
      <x:c r="R498" s="14"/>
      <x:c r="S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31"/>
      <x:c r="Q499" s="14"/>
      <x:c r="R499" s="14"/>
      <x:c r="S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31"/>
      <x:c r="Q500" s="14"/>
      <x:c r="R500" s="14"/>
      <x:c r="S500" s="14"/>
    </x:row>
  </x:sheetData>
  <x:conditionalFormatting sqref="C2:C500">
    <x:cfRule type="expression" dxfId="0" priority="1">
      <x:formula>C2="Perfect"</x:formula>
    </x:cfRule>
    <x:cfRule type="expression" dxfId="1" priority="2">
      <x:formula>C2="Playable"</x:formula>
    </x:cfRule>
    <x:cfRule type="expression" dxfId="2" priority="3">
      <x:formula>OR(C2="Crash",C2="Doesn't open",C2="Black screen")</x:formula>
    </x:cfRule>
    <x:cfRule type="expression" dxfId="3" priority="4">
      <x:formula>C2="Partial"</x:formula>
    </x:cfRule>
    <x:cfRule type="expression" dxfId="7" priority="8">
      <x:formula>C2="White screen"</x:formula>
    </x:cfRule>
  </x:conditionalFormatting>
  <x:conditionalFormatting sqref="D2:D500">
    <x:cfRule type="expression" dxfId="4" priority="5">
      <x:formula>D2="High"</x:formula>
    </x:cfRule>
    <x:cfRule type="expression" dxfId="5" priority="6">
      <x:formula>D2="Medium"</x:formula>
    </x:cfRule>
    <x:cfRule type="expression" dxfId="6" priority="7">
      <x:formula>D2="Low"</x:formula>
    </x:cfRule>
  </x:conditionalFormatting>
  <x:dataValidations count="6">
    <x:dataValidation type="list" sqref="C2:C500">
      <x:formula1>Lists!$A$2:$A$11</x:formula1>
    </x:dataValidation>
    <x:dataValidation type="list" sqref="D2:D500">
      <x:formula1>Lists!$B$2:$B$6</x:formula1>
    </x:dataValidation>
    <x:dataValidation type="list" sqref="E2:E500">
      <x:formula1>Lists!$C$2:$C$7</x:formula1>
    </x:dataValidation>
    <x:dataValidation type="list" sqref="F2:F500">
      <x:formula1>Lists!$D$2:$D$5</x:formula1>
    </x:dataValidation>
    <x:dataValidation type="list" sqref="G2:G500">
      <x:formula1>Lists!$E$2:$E$5</x:formula1>
    </x:dataValidation>
    <x:dataValidation type="list" sqref="M2:M500">
      <x:formula1>Lists!$F$2:$F$6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d9f050570748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44" hidden="0" customWidth="1"/>
    <x:col min="4" max="4" width="14" hidden="0" customWidth="1"/>
    <x:col min="5" max="5" width="14" hidden="0" customWidth="1"/>
    <x:col min="6" max="6" width="1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52" hidden="0" customWidth="1"/>
  </x:cols>
  <x:sheetData>
    <x:row r="1">
      <x:c r="A1" s="9" t="str">
        <x:v>Game</x:v>
      </x:c>
      <x:c r="B1" s="9" t="str">
        <x:v>Profile File</x:v>
      </x:c>
      <x:c r="C1" s="9" t="str">
        <x:v>Aliases</x:v>
      </x:c>
      <x:c r="D1" s="9" t="str">
        <x:v>A Policy</x:v>
      </x:c>
      <x:c r="E1" s="9" t="str">
        <x:v>Mouse Click</x:v>
      </x:c>
      <x:c r="F1" s="9" t="str">
        <x:v>A</x:v>
      </x:c>
      <x:c r="G1" s="9" t="str">
        <x:v>B</x:v>
      </x:c>
      <x:c r="H1" s="9" t="str">
        <x:v>X</x:v>
      </x:c>
      <x:c r="I1" s="9" t="str">
        <x:v>Y</x:v>
      </x:c>
      <x:c r="J1" s="9" t="str">
        <x:v>Start</x:v>
      </x:c>
      <x:c r="K1" s="9" t="str">
        <x:v>Select</x:v>
      </x:c>
      <x:c r="L1" s="9" t="str">
        <x:v>L1</x:v>
      </x:c>
      <x:c r="M1" s="9" t="str">
        <x:v>R2/Internal</x:v>
      </x:c>
      <x:c r="N1" s="9" t="str">
        <x:v>Notes</x:v>
      </x:c>
    </x:row>
    <x:row r="2">
      <x:c r="A2" s="14" t="str">
        <x:v>Bad Ice-Cream 3</x:v>
      </x:c>
      <x:c r="B2" s="14" t="str">
        <x:v>bad-ice-cream-3.profile</x:v>
      </x:c>
      <x:c r="C2" s="14" t="str">
        <x:v>bad-icecream-3|bad-ice-cream3|bad-icecream3</x:v>
      </x:c>
      <x:c r="D2" s="14" t="str">
        <x:v>keyboard</x:v>
      </x:c>
      <x:c r="E2" s="14" t="str">
        <x:v>r1</x:v>
      </x:c>
      <x:c r="F2" s="14" t="str">
        <x:v>—</x:v>
      </x:c>
      <x:c r="G2" s="14" t="str">
        <x:v>Space</x:v>
      </x:c>
      <x:c r="H2" s="14" t="str">
        <x:v>—</x:v>
      </x:c>
      <x:c r="I2" s="14" t="str">
        <x:v>—</x:v>
      </x:c>
      <x:c r="J2" s="14" t="str">
        <x:v>—</x:v>
      </x:c>
      <x:c r="K2" s="14" t="str">
        <x:v>—</x:v>
      </x:c>
      <x:c r="L2" s="14" t="str">
        <x:v>—</x:v>
      </x:c>
      <x:c r="M2" s="14" t="str">
        <x:v>—</x:v>
      </x:c>
      <x:c r="N2" s="14" t="str">
        <x:v>Bad Ice-Cream 3 Player 1: arrows move; Space breaks/freezes ice. / Frozen Native reserves A for click, so B=Space. R1 also clicks menus.</x:v>
      </x:c>
    </x:row>
    <x:row r="3">
      <x:c r="A3" s="14" t="str">
        <x:v>Dad n Me</x:v>
      </x:c>
      <x:c r="B3" s="14" t="str">
        <x:v>dad-n-me.profile</x:v>
      </x:c>
      <x:c r="C3" s="14" t="str">
        <x:v>dadnme|dad-n-me|dad-nme|dad-n-me-game|dad-n-me-flash</x:v>
      </x:c>
      <x:c r="D3" s="14" t="str">
        <x:v>disabled</x:v>
      </x:c>
      <x:c r="E3" s="14" t="str">
        <x:v>r1</x:v>
      </x:c>
      <x:c r="F3" s="14" t="str">
        <x:v>Disabled</x:v>
      </x:c>
      <x:c r="G3" s="14" t="str">
        <x:v>—</x:v>
      </x:c>
      <x:c r="H3" s="14" t="str">
        <x:v>S</x:v>
      </x:c>
      <x:c r="I3" s="14" t="str">
        <x:v>A</x:v>
      </x:c>
      <x:c r="J3" s="14" t="str">
        <x:v>—</x:v>
      </x:c>
      <x:c r="K3" s="14" t="str">
        <x:v>—</x:v>
      </x:c>
      <x:c r="L3" s="14" t="str">
        <x:v>—</x:v>
      </x:c>
      <x:c r="M3" s="14" t="str">
        <x:v>—</x:v>
      </x:c>
      <x:c r="N3" s="14" t="str">
        <x:v>Dad 'n Me: arrows walk; keyboard A = light attack, S = heavy attack, Q = quality. / Requested handheld layout: Y = light attack, X = heavy attack, R1 = ONLY click.</x:v>
      </x:c>
    </x:row>
    <x:row r="4">
      <x:c r="A4" s="14" t="str">
        <x:v>Generic Flash</x:v>
      </x:c>
      <x:c r="B4" s="14" t="str">
        <x:v>default.profile</x:v>
      </x:c>
      <x:c r="C4" s="14" t="str">
        <x:v>generic|default</x:v>
      </x:c>
      <x:c r="D4" s="14" t="str">
        <x:v>keyboard</x:v>
      </x:c>
      <x:c r="E4" s="14" t="str">
        <x:v>r1</x:v>
      </x:c>
      <x:c r="F4" s="14" t="str">
        <x:v>Space</x:v>
      </x:c>
      <x:c r="G4" s="14" t="str">
        <x:v>Z</x:v>
      </x:c>
      <x:c r="H4" s="14" t="str">
        <x:v>X</x:v>
      </x:c>
      <x:c r="I4" s="14" t="str">
        <x:v>C</x:v>
      </x:c>
      <x:c r="J4" s="14" t="str">
        <x:v>Enter</x:v>
      </x:c>
      <x:c r="K4" s="14" t="str">
        <x:v>Esc</x:v>
      </x:c>
      <x:c r="L4" s="14" t="str">
        <x:v>Shift</x:v>
      </x:c>
      <x:c r="M4" s="14" t="str">
        <x:v>—</x:v>
      </x:c>
      <x:c r="N4" s="14" t="str">
        <x:v>Generic hybrid Flash profile for frozen Native frontend. / Hybrid default: A=Space and R1 is the mouse click.</x:v>
      </x:c>
    </x:row>
    <x:row r="5">
      <x:c r="A5" s="14" t="str">
        <x:v>Garfield's Scary Scavenger Hunt</x:v>
      </x:c>
      <x:c r="B5" s="14" t="str">
        <x:v>garfield-s-scary-scavenger-hunt.profile</x:v>
      </x:c>
      <x:c r="C5" s="14" t="str">
        <x:v>garfields-scary-scavenger-hunt|garfield-scary-scavenger-hunt|garfield-s-scary-scavenger-hunt</x:v>
      </x:c>
      <x:c r="D5" s="14" t="str">
        <x:v>native</x:v>
      </x:c>
      <x:c r="E5" s="14" t="str">
        <x:v>r1</x:v>
      </x:c>
      <x:c r="F5" s="14" t="str">
        <x:v>Native click</x:v>
      </x:c>
      <x:c r="G5" s="14" t="str">
        <x:v>—</x:v>
      </x:c>
      <x:c r="H5" s="14" t="str">
        <x:v>—</x:v>
      </x:c>
      <x:c r="I5" s="14" t="str">
        <x:v>—</x:v>
      </x:c>
      <x:c r="J5" s="14" t="str">
        <x:v>—</x:v>
      </x:c>
      <x:c r="K5" s="14" t="str">
        <x:v>—</x:v>
      </x:c>
      <x:c r="L5" s="14" t="str">
        <x:v>—</x:v>
      </x:c>
      <x:c r="M5" s="14" t="str">
        <x:v>—</x:v>
      </x:c>
      <x:c r="N5" s="14" t="str">
        <x:v>Garfield: arrow keys move; right stick moves cursor; native A clicks; R1 also clicks.</x:v>
      </x:c>
    </x:row>
    <x:row r="6">
      <x:c r="A6" s="14" t="str">
        <x:v>Henry Stickmin - Breaking the Bank</x:v>
      </x:c>
      <x:c r="B6" s="14" t="str">
        <x:v>henry-stickmin-breaking-the-bank.profile</x:v>
      </x:c>
      <x:c r="C6" s="14" t="str">
        <x:v>henry-stickman-breaking-the-bank|henry-stickmin-breaking-the-bank|breaking-the-bank|henry-stickmin-breaking-bank</x:v>
      </x:c>
      <x:c r="D6" s="14" t="str">
        <x:v>native</x:v>
      </x:c>
      <x:c r="E6" s="14" t="str">
        <x:v>none</x:v>
      </x:c>
      <x:c r="F6" s="14" t="str">
        <x:v>Native click</x:v>
      </x:c>
      <x:c r="G6" s="14" t="str">
        <x:v>—</x:v>
      </x:c>
      <x:c r="H6" s="14" t="str">
        <x:v>—</x:v>
      </x:c>
      <x:c r="I6" s="14" t="str">
        <x:v>—</x:v>
      </x:c>
      <x:c r="J6" s="14" t="str">
        <x:v>—</x:v>
      </x:c>
      <x:c r="K6" s="14" t="str">
        <x:v>—</x:v>
      </x:c>
      <x:c r="L6" s="14" t="str">
        <x:v>—</x:v>
      </x:c>
      <x:c r="M6" s="14" t="str">
        <x:v>—</x:v>
      </x:c>
      <x:c r="N6" s="14" t="str">
        <x:v>Mouse-only: right stick = native cursor; A = native click.</x:v>
      </x:c>
    </x:row>
    <x:row r="7">
      <x:c r="A7" s="14" t="str">
        <x:v>Papa's Pizzeria</x:v>
      </x:c>
      <x:c r="B7" s="14" t="str">
        <x:v>papas-pizzeria.profile</x:v>
      </x:c>
      <x:c r="C7" s="14" t="str">
        <x:v>papa-s-pizzeria|papa-pizzeria|papas-pizzeria</x:v>
      </x:c>
      <x:c r="D7" s="14" t="str">
        <x:v>native</x:v>
      </x:c>
      <x:c r="E7" s="14" t="str">
        <x:v>none</x:v>
      </x:c>
      <x:c r="F7" s="14" t="str">
        <x:v>Native click</x:v>
      </x:c>
      <x:c r="G7" s="14" t="str">
        <x:v>—</x:v>
      </x:c>
      <x:c r="H7" s="14" t="str">
        <x:v>—</x:v>
      </x:c>
      <x:c r="I7" s="14" t="str">
        <x:v>—</x:v>
      </x:c>
      <x:c r="J7" s="14" t="str">
        <x:v>—</x:v>
      </x:c>
      <x:c r="K7" s="14" t="str">
        <x:v>—</x:v>
      </x:c>
      <x:c r="L7" s="14" t="str">
        <x:v>—</x:v>
      </x:c>
      <x:c r="M7" s="14" t="str">
        <x:v>—</x:v>
      </x:c>
      <x:c r="N7" s="14" t="str">
        <x:v>Mouse-only: right stick = native cursor; A = native click.</x:v>
      </x:c>
    </x:row>
    <x:row r="8">
      <x:c r="A8" s="14" t="str">
        <x:v>Super Mario 63</x:v>
      </x:c>
      <x:c r="B8" s="14" t="str">
        <x:v>super-mario-63.profile</x:v>
      </x:c>
      <x:c r="C8" s="14" t="str">
        <x:v>super-mario63|sm63</x:v>
      </x:c>
      <x:c r="D8" s="14" t="str">
        <x:v>keyboard</x:v>
      </x:c>
      <x:c r="E8" s="14" t="str">
        <x:v>r1</x:v>
      </x:c>
      <x:c r="F8" s="14" t="str">
        <x:v>—</x:v>
      </x:c>
      <x:c r="G8" s="14" t="str">
        <x:v>Z</x:v>
      </x:c>
      <x:c r="H8" s="14" t="str">
        <x:v>X</x:v>
      </x:c>
      <x:c r="I8" s="14" t="str">
        <x:v>C</x:v>
      </x:c>
      <x:c r="J8" s="14" t="str">
        <x:v>P</x:v>
      </x:c>
      <x:c r="K8" s="14" t="str">
        <x:v>—</x:v>
      </x:c>
      <x:c r="L8" s="14" t="str">
        <x:v>Shift</x:v>
      </x:c>
      <x:c r="M8" s="14" t="str">
        <x:v>—</x:v>
      </x:c>
      <x:c r="N8" s="14" t="str">
        <x:v>Super Mario 63: arrows move; Z/X/C actions; Shift changes nozzle; P pauses. / Frozen Native reserves A for click: B=Z, X=X, Y=C, L1=Shift, Start=P.</x:v>
      </x:c>
    </x:row>
    <x:row r="9">
      <x:c r="A9" s="14" t="str">
        <x:v>Fancy Pants Adventure World 1</x:v>
      </x:c>
      <x:c r="B9" s="14" t="str">
        <x:v>the-fancy-pants-adventure-1.profile</x:v>
      </x:c>
      <x:c r="C9" s="14" t="str">
        <x:v>fancy-pants-adventure|fancy-pants|the-fancy-pants-adventure|fancy-pants-adventure-world-1|the-fancy-pants-adventure-1</x:v>
      </x:c>
      <x:c r="D9" s="14" t="str">
        <x:v>keyboard</x:v>
      </x:c>
      <x:c r="E9" s="14" t="str">
        <x:v>r1</x:v>
      </x:c>
      <x:c r="F9" s="14" t="str">
        <x:v>S</x:v>
      </x:c>
      <x:c r="G9" s="14" t="str">
        <x:v>—</x:v>
      </x:c>
      <x:c r="H9" s="14" t="str">
        <x:v>—</x:v>
      </x:c>
      <x:c r="I9" s="14" t="str">
        <x:v>Q</x:v>
      </x:c>
      <x:c r="J9" s="14" t="str">
        <x:v>Space</x:v>
      </x:c>
      <x:c r="K9" s="14" t="str">
        <x:v>M</x:v>
      </x:c>
      <x:c r="L9" s="14" t="str">
        <x:v>—</x:v>
      </x:c>
      <x:c r="M9" s="14" t="str">
        <x:v>—</x:v>
      </x:c>
      <x:c r="N9" s="14" t="str">
        <x:v>Fancy Pants Adventure World 1 / A = S (jump), Start = Space (pause), Select = M (mute), Y = Q (quality).</x:v>
      </x:c>
    </x:row>
    <x:row r="10">
      <x:c r="A10" s="14" t="str">
        <x:v>The World's Hardest Game</x:v>
      </x:c>
      <x:c r="B10" s="14" t="str">
        <x:v>the-world-hardest-game.profile</x:v>
      </x:c>
      <x:c r="C10" s="14" t="str">
        <x:v>the-worlds-hardest-game|worlds-hardest-game|world-hardest-game|the-world-hardest-game</x:v>
      </x:c>
      <x:c r="D10" s="14" t="str">
        <x:v>disabled</x:v>
      </x:c>
      <x:c r="E10" s="14" t="str">
        <x:v>r1</x:v>
      </x:c>
      <x:c r="F10" s="14" t="str">
        <x:v>Disabled</x:v>
      </x:c>
      <x:c r="G10" s="14" t="str">
        <x:v>—</x:v>
      </x:c>
      <x:c r="H10" s="14" t="str">
        <x:v>—</x:v>
      </x:c>
      <x:c r="I10" s="14" t="str">
        <x:v>—</x:v>
      </x:c>
      <x:c r="J10" s="14" t="str">
        <x:v>—</x:v>
      </x:c>
      <x:c r="K10" s="14" t="str">
        <x:v>—</x:v>
      </x:c>
      <x:c r="L10" s="14" t="str">
        <x:v>—</x:v>
      </x:c>
      <x:c r="M10" s="14" t="str">
        <x:v>—</x:v>
      </x:c>
      <x:c r="N10" s="14" t="str">
        <x:v>The World's Hardest Game / Arrows/stick move. A is explicitly neutralized so it cannot click.</x:v>
      </x:c>
    </x:row>
    <x:row r="11">
      <x:c r="A11" s="14" t="str">
        <x:v>Bejeweled 2</x:v>
      </x:c>
      <x:c r="B11" s="14" t="str">
        <x:v>bejeweled-2.profile</x:v>
      </x:c>
      <x:c r="C11" s="14" t="str">
        <x:v>bejeweled2|bejeweled-2-deluxe|bejeweled2deluxe|bejeweled-2-action</x:v>
      </x:c>
      <x:c r="D11" s="14" t="str">
        <x:v>click</x:v>
      </x:c>
      <x:c r="E11" s="14" t="str">
        <x:v>a</x:v>
      </x:c>
      <x:c r="F11" s="14" t="str">
        <x:v>Click</x:v>
      </x:c>
      <x:c r="G11" s="14" t="str">
        <x:v>—</x:v>
      </x:c>
      <x:c r="H11" s="14" t="str">
        <x:v>—</x:v>
      </x:c>
      <x:c r="I11" s="14" t="str">
        <x:v>—</x:v>
      </x:c>
      <x:c r="J11" s="14" t="str">
        <x:v>—</x:v>
      </x:c>
      <x:c r="K11" s="14" t="str">
        <x:v>—</x:v>
      </x:c>
      <x:c r="L11" s="14" t="str">
        <x:v>—</x:v>
      </x:c>
      <x:c r="M11" s="14" t="str">
        <x:v>—</x:v>
      </x:c>
      <x:c r="N11" s="14" t="str">
        <x:v>Mouse-only. Right stick moves the cursor; A clicks.</x:v>
      </x:c>
    </x:row>
    <x:row r="12">
      <x:c r="A12" s="14" t="str">
        <x:v>Minecraft Tower Defense</x:v>
      </x:c>
      <x:c r="B12" s="14" t="str">
        <x:v>minecrafttowerdefense.profile</x:v>
      </x:c>
      <x:c r="C12" s="14" t="str">
        <x:v>minecraft-tower-defense|minecraft-tower-defence|minecrafttowerdefence|minecraft-td|minecraft-tower-defense-1</x:v>
      </x:c>
      <x:c r="D12" s="14" t="str">
        <x:v>click</x:v>
      </x:c>
      <x:c r="E12" s="14" t="str">
        <x:v>a</x:v>
      </x:c>
      <x:c r="F12" s="14" t="str">
        <x:v>Click</x:v>
      </x:c>
      <x:c r="G12" s="14" t="str">
        <x:v>—</x:v>
      </x:c>
      <x:c r="H12" s="14" t="str">
        <x:v>—</x:v>
      </x:c>
      <x:c r="I12" s="14" t="str">
        <x:v>—</x:v>
      </x:c>
      <x:c r="J12" s="14" t="str">
        <x:v>—</x:v>
      </x:c>
      <x:c r="K12" s="14" t="str">
        <x:v>—</x:v>
      </x:c>
      <x:c r="L12" s="14" t="str">
        <x:v>—</x:v>
      </x:c>
      <x:c r="M12" s="14" t="str">
        <x:v>—</x:v>
      </x:c>
      <x:c r="N12" s="14" t="str">
        <x:v>Mouse-only. Right stick moves the cursor; A digs, builds and selects.</x:v>
      </x:c>
    </x:row>
    <x:row r="13">
      <x:c r="A13" s="14" t="str">
        <x:v>Final Fantasy Sonic X5</x:v>
      </x:c>
      <x:c r="B13" s="14" t="str">
        <x:v>final-fantasy-sonic-x5.profile</x:v>
      </x:c>
      <x:c r="C13" s="14" t="str">
        <x:v>finalfantasysonicx5|final-fantasy-sonic-x-5|final-fantasy-sonic-x-episode-5|final-fantasy-sonic-x5-episode-5|ffsx5</x:v>
      </x:c>
      <x:c r="D13" s="14" t="str">
        <x:v>click</x:v>
      </x:c>
      <x:c r="E13" s="14" t="str">
        <x:v>a</x:v>
      </x:c>
      <x:c r="F13" s="14" t="str">
        <x:v>Click</x:v>
      </x:c>
      <x:c r="G13" s="14" t="str">
        <x:v>—</x:v>
      </x:c>
      <x:c r="H13" s="14" t="str">
        <x:v>—</x:v>
      </x:c>
      <x:c r="I13" s="14" t="str">
        <x:v>—</x:v>
      </x:c>
      <x:c r="J13" s="14" t="str">
        <x:v>—</x:v>
      </x:c>
      <x:c r="K13" s="14" t="str">
        <x:v>—</x:v>
      </x:c>
      <x:c r="L13" s="14" t="str">
        <x:v>—</x:v>
      </x:c>
      <x:c r="M13" s="14" t="str">
        <x:v>—</x:v>
      </x:c>
      <x:c r="N13" s="14" t="str">
        <x:v>Mouse-only RPG. Right stick moves the cursor; A selects.</x:v>
      </x:c>
    </x:row>
    <x:row r="14">
      <x:c r="A14" s="14" t="str">
        <x:v>We Dancing Online</x:v>
      </x:c>
      <x:c r="B14" s="14" t="str">
        <x:v>we-dancing-online.profile</x:v>
      </x:c>
      <x:c r="C14" s="14" t="str">
        <x:v>we-dancing-online|wedancingonline</x:v>
      </x:c>
      <x:c r="D14" s="14" t="str">
        <x:v>unused</x:v>
      </x:c>
      <x:c r="E14" s="14" t="str">
        <x:v>r1</x:v>
      </x:c>
      <x:c r="F14" s="14" t="str">
        <x:v>—</x:v>
      </x:c>
      <x:c r="G14" s="14" t="str">
        <x:v>Space</x:v>
      </x:c>
      <x:c r="H14" s="14" t="str">
        <x:v>X</x:v>
      </x:c>
      <x:c r="I14" s="14" t="str">
        <x:v>C</x:v>
      </x:c>
      <x:c r="J14" s="14" t="str">
        <x:v>Enter</x:v>
      </x:c>
      <x:c r="K14" s="14" t="str">
        <x:v>Esc</x:v>
      </x:c>
      <x:c r="L14" s="14" t="str">
        <x:v>Shift</x:v>
      </x:c>
      <x:c r="M14" s="14" t="str">
        <x:v>—</x:v>
      </x:c>
      <x:c r="N14" s="14" t="str">
        <x:v>D-pad = arrows; B = Space; X = X; Y = C; Start = Enter; Select = Esc; L1 = Shift; R1 = click.</x:v>
      </x:c>
    </x:row>
    <x:row r="15">
      <x:c r="A15" s="14" t="str">
        <x:v>Ultimate Flash Sonic</x:v>
      </x:c>
      <x:c r="B15" s="14" t="str">
        <x:v>ultimate-flash-sonic.profile</x:v>
      </x:c>
      <x:c r="C15" s="14" t="str">
        <x:v>ultimateflashsonic|ultimate-sonic-flash|ultimate-sonic|ufs</x:v>
      </x:c>
      <x:c r="D15" s="14" t="str">
        <x:v>keyboard</x:v>
      </x:c>
      <x:c r="E15" s="14" t="str">
        <x:v>r1</x:v>
      </x:c>
      <x:c r="F15" s="14" t="str">
        <x:v>Space</x:v>
      </x:c>
      <x:c r="G15" s="14" t="str">
        <x:v>—</x:v>
      </x:c>
      <x:c r="H15" s="14" t="str">
        <x:v>—</x:v>
      </x:c>
      <x:c r="I15" s="14" t="str">
        <x:v>—</x:v>
      </x:c>
      <x:c r="J15" s="14" t="str">
        <x:v>Enter</x:v>
      </x:c>
      <x:c r="K15" s="14" t="str">
        <x:v>—</x:v>
      </x:c>
      <x:c r="L15" s="14" t="str">
        <x:v>—</x:v>
      </x:c>
      <x:c r="M15" s="14" t="str">
        <x:v>—</x:v>
      </x:c>
      <x:c r="N15" s="14" t="str">
        <x:v>Arrows move; A = jump/Spin Dash; Start = pause; R1 = menu click.</x:v>
      </x:c>
    </x:row>
    <x:row r="16">
      <x:c r="A16" s="14" t="str">
        <x:v>Super Smash Flash 2</x:v>
      </x:c>
      <x:c r="B16" s="14" t="str">
        <x:v>ssf2.profile</x:v>
      </x:c>
      <x:c r="C16" s="14" t="str">
        <x:v>super-smash-flash-2|supersmashflash2|ssf-2|ssf2-v0-8|ssf2-v0-8b|ssf2-v0-9|ssf2-v0-9b|super-smash-flash-2-v0-8|super-smash-flash-2-v0-9</x:v>
      </x:c>
      <x:c r="D16" s="14" t="str">
        <x:v>keyboard</x:v>
      </x:c>
      <x:c r="E16" s="14" t="str">
        <x:v>r1</x:v>
      </x:c>
      <x:c r="F16" s="14" t="str">
        <x:v>P</x:v>
      </x:c>
      <x:c r="G16" s="14" t="str">
        <x:v>O</x:v>
      </x:c>
      <x:c r="H16" s="14" t="str">
        <x:v>U</x:v>
      </x:c>
      <x:c r="I16" s="14" t="str">
        <x:v>I</x:v>
      </x:c>
      <x:c r="J16" s="14" t="str">
        <x:v>Space</x:v>
      </x:c>
      <x:c r="K16" s="14" t="str">
        <x:v>Backspace</x:v>
      </x:c>
      <x:c r="L16" s="14" t="str">
        <x:v>1</x:v>
      </x:c>
      <x:c r="M16" s="14" t="str">
        <x:v>—</x:v>
      </x:c>
      <x:c r="N16" s="14" t="str">
        <x:v>P1: D-pad = WASD; A attack; B special; X grab; Y shield; Start start; Select pause; L1 taunt; R1 menu click.</x:v>
      </x:c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</x:row>
  </x:sheetData>
  <x:pageMargins left="0.7" right="0.7" top="0.75" bottom="0.75" header="0.3" footer="0.3"/>
  <x:tableParts count="1">
    <x:tablePart xmlns:r="http://schemas.openxmlformats.org/officeDocument/2006/relationships" r:id="R96a1b77b9fde43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30" customHeight="1">
      <x:c r="A1" s="18" t="str">
        <x:v>Ruffle Handheld Community Tracker</x:v>
      </x:c>
      <x:c r="B1" s="18"/>
      <x:c r="C1" s="18"/>
      <x:c r="D1" s="18"/>
      <x:c r="E1" s="18"/>
      <x:c r="F1" s="18"/>
      <x:c r="G1" s="18"/>
      <x:c r="H1" s="18"/>
    </x:row>
    <x:row r="3">
      <x:c r="A3" s="23" t="str">
        <x:v>Metric</x:v>
      </x:c>
      <x:c r="B3" s="23" t="str">
        <x:v>Value</x:v>
      </x:c>
      <x:c r="D3" s="28" t="str">
        <x:v>Community workflow
1. Contributor opens a structured GitHub report.
2. Maintainer verifies device/CFW/version.
3. Update compatibility/games.csv or add a tested profile.
4. Keep different hardware results as separate rows when needed.</x:v>
      </x:c>
      <x:c r="E3" s="28"/>
      <x:c r="F3" s="28"/>
      <x:c r="G3" s="28"/>
      <x:c r="H3" s="28"/>
    </x:row>
    <x:row r="4">
      <x:c r="A4" t="str">
        <x:v>Seeded reports</x:v>
      </x:c>
      <x:c r="B4" t="n">
        <x:f>COUNTA(Compatibility!A2:A500)</x:f>
        <x:v>15</x:v>
      </x:c>
      <x:c r="D4" s="28"/>
      <x:c r="E4" s="28"/>
      <x:c r="F4" s="28"/>
      <x:c r="G4" s="28"/>
      <x:c r="H4" s="28"/>
    </x:row>
    <x:row r="5">
      <x:c r="A5" t="str">
        <x:v>Playable or better</x:v>
      </x:c>
      <x:c r="B5" t="n">
        <x:f>COUNTIF(Compatibility!C2:C500,"Perfect")+COUNTIF(Compatibility!C2:C500,"Playable")</x:f>
        <x:v>12</x:v>
      </x:c>
      <x:c r="D5" s="28"/>
      <x:c r="E5" s="28"/>
      <x:c r="F5" s="28"/>
      <x:c r="G5" s="28"/>
      <x:c r="H5" s="28"/>
    </x:row>
    <x:row r="6">
      <x:c r="A6" t="str">
        <x:v>Needs attention</x:v>
      </x:c>
      <x:c r="B6" t="n">
        <x:f>COUNTIF(Compatibility!C2:C500,"Partial")+COUNTIF(Compatibility!C2:C500,"Boots")+COUNTIF(Compatibility!C2:C500,"Doesn't open")+COUNTIF(Compatibility!C2:C500,"Black screen")+COUNTIF(Compatibility!C2:C500,"White screen")+COUNTIF(Compatibility!C2:C500,"Crash")+COUNTIF(Compatibility!C2:C500,"Needs assets")</x:f>
        <x:v>3</x:v>
      </x:c>
      <x:c r="D6" s="28"/>
      <x:c r="E6" s="28"/>
      <x:c r="F6" s="28"/>
      <x:c r="G6" s="28"/>
      <x:c r="H6" s="28"/>
    </x:row>
    <x:row r="7">
      <x:c r="A7" t="str">
        <x:v>Profiles in repo</x:v>
      </x:c>
      <x:c r="B7" t="n">
        <x:f>COUNTA('Control Profiles'!A2:A200)</x:f>
        <x:v>15</x:v>
      </x:c>
      <x:c r="D7" s="28"/>
      <x:c r="E7" s="28"/>
      <x:c r="F7" s="28"/>
      <x:c r="G7" s="28"/>
      <x:c r="H7" s="28"/>
    </x:row>
    <x:row r="8">
      <x:c r="A8" t="str">
        <x:v>Current preview</x:v>
      </x:c>
      <x:c r="B8" t="str">
        <x:v>0.8.21</x:v>
      </x:c>
      <x:c r="D8" s="28"/>
      <x:c r="E8" s="28"/>
      <x:c r="F8" s="28"/>
      <x:c r="G8" s="28"/>
      <x:c r="H8" s="28"/>
    </x:row>
    <x:row r="10">
      <x:c r="A10" s="30" t="str">
        <x:v>Status</x:v>
      </x:c>
      <x:c r="B10" s="30" t="str">
        <x:v>Count</x:v>
      </x:c>
    </x:row>
    <x:row r="11">
      <x:c r="A11" t="str">
        <x:v>Perfect</x:v>
      </x:c>
      <x:c r="B11" t="n">
        <x:f>COUNTIF(Compatibility!$C$2:$C$500,A11)</x:f>
        <x:v>0</x:v>
      </x:c>
    </x:row>
    <x:row r="12">
      <x:c r="A12" t="str">
        <x:v>Playable</x:v>
      </x:c>
      <x:c r="B12" t="n">
        <x:f>COUNTIF(Compatibility!$C$2:$C$500,A12)</x:f>
        <x:v>12</x:v>
      </x:c>
    </x:row>
    <x:row r="13">
      <x:c r="A13" t="str">
        <x:v>Partial</x:v>
      </x:c>
      <x:c r="B13" t="n">
        <x:f>COUNTIF(Compatibility!$C$2:$C$500,A13)</x:f>
        <x:v>0</x:v>
      </x:c>
    </x:row>
    <x:row r="14">
      <x:c r="A14" t="str">
        <x:v>Boots</x:v>
      </x:c>
      <x:c r="B14" t="n">
        <x:f>COUNTIF(Compatibility!$C$2:$C$500,A14)</x:f>
        <x:v>0</x:v>
      </x:c>
    </x:row>
    <x:row r="15">
      <x:c r="A15" t="str">
        <x:v>Doesn't open</x:v>
      </x:c>
      <x:c r="B15" t="n">
        <x:f>COUNTIF(Compatibility!$C$2:$C$500,A15)</x:f>
        <x:v>1</x:v>
      </x:c>
    </x:row>
    <x:row r="16">
      <x:c r="A16" t="str">
        <x:v>Black screen</x:v>
      </x:c>
      <x:c r="B16" t="n">
        <x:f>COUNTIF(Compatibility!$C$2:$C$500,A16)</x:f>
        <x:v>0</x:v>
      </x:c>
    </x:row>
    <x:row r="17">
      <x:c r="A17" t="str">
        <x:v>White screen</x:v>
      </x:c>
      <x:c r="B17" t="n">
        <x:f>COUNTIF(Compatibility!$C$2:$C$500,A17)</x:f>
        <x:v>1</x:v>
      </x:c>
    </x:row>
    <x:row r="18">
      <x:c r="A18" t="str">
        <x:v>Crash</x:v>
      </x:c>
      <x:c r="B18" t="n">
        <x:f>COUNTIF(Compatibility!$C$2:$C$500,A18)</x:f>
        <x:v>1</x:v>
      </x:c>
    </x:row>
    <x:row r="19">
      <x:c r="A19" t="str">
        <x:v>Needs assets</x:v>
      </x:c>
      <x:c r="B19" t="n">
        <x:f>COUNTIF(Compatibility!$C$2:$C$500,A19)</x:f>
        <x:v>0</x:v>
      </x:c>
    </x:row>
    <x:row r="20">
      <x:c r="A20" t="str">
        <x:v>Untested</x:v>
      </x:c>
      <x:c r="B20" t="n">
        <x:f>COUNTIF(Compatibility!$C$2:$C$500,A20)</x:f>
        <x:v>0</x:v>
      </x:c>
    </x:row>
  </x:sheetData>
  <x:mergeCells>
    <x:mergeCell ref="A1:H1"/>
    <x:mergeCell ref="D3:H8"/>
  </x:mergeCells>
  <x:pageMargins left="0.7" right="0.7" top="0.75" bottom="0.75" header="0.3" footer="0.3"/>
  <x:drawing xmlns:r="http://schemas.openxmlformats.org/officeDocument/2006/relationships" r:id="R9c3d0fb66d804e63"/>
</x:worksheet>
</file>