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44e6d3b4b54e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65bd90097b774f2f"/>
    <x:sheet xmlns:r="http://schemas.openxmlformats.org/officeDocument/2006/relationships" name="Compatibility" sheetId="2" r:id="Rc59a4346584d4cca"/>
    <x:sheet xmlns:r="http://schemas.openxmlformats.org/officeDocument/2006/relationships" name="Control Profiles" sheetId="3" r:id="R371959962c914bb0"/>
    <x:sheet xmlns:r="http://schemas.openxmlformats.org/officeDocument/2006/relationships" name="Dashboard" sheetId="4" r:id="R3f1efb73afd54a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63238"/>
      </x:patternFill>
    </x:fill>
    <x:fill>
      <x:patternFill patternType="solid">
        <x:fgColor rgb="FF455A64"/>
      </x:patternFill>
    </x:fill>
    <x:fill>
      <x:patternFill patternType="solid">
        <x:fgColor rgb="FFECEFF1"/>
      </x:patternFill>
    </x:fill>
    <x:fill>
      <x:patternFill patternType="solid">
        <x:fgColor rgb="FF455A64"/>
      </x:patternFill>
    </x:fill>
  </x:fills>
  <x:borders count="2">
    <x:border/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/>
  </x:cellXfs>
  <x:cellStyles count="1">
    <x:cellStyle name="Normal" xfId="0"/>
  </x:cellStyles>
  <x:dxfs count="8">
    <x:dxf>
      <x:fill>
        <x:patternFill>
          <x:bgColor rgb="FFD7F0DD"/>
        </x:patternFill>
      </x:fill>
    </x:dxf>
    <x:dxf>
      <x:fill>
        <x:patternFill>
          <x:bgColor rgb="FFE6F4EA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FFF1C7"/>
        </x:patternFill>
      </x:fill>
    </x:dxf>
    <x:dxf>
      <x:fill>
        <x:patternFill>
          <x:bgColor rgb="FFE6F4EA"/>
        </x:patternFill>
      </x:fill>
    </x:dxf>
    <x:dxf>
      <x:fill>
        <x:patternFill>
          <x:bgColor rgb="FFFFF1C7"/>
        </x:patternFill>
      </x:fill>
    </x:dxf>
    <x:dxf>
      <x:fill>
        <x:patternFill>
          <x:bgColor rgb="FFF8D7DA"/>
        </x:patternFill>
      </x:fill>
    </x:dxf>
    <x:dxf>
      <x:fill>
        <x:patternFill patternType="solid"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ba109cd83f43f4" /><Relationship Type="http://schemas.openxmlformats.org/officeDocument/2006/relationships/theme" Target="/xl/theme/theme1.xml" Id="R1fb2b780f26e4c6d" /><Relationship Type="http://schemas.openxmlformats.org/officeDocument/2006/relationships/sharedStrings" Target="/xl/sharedStrings.xml" Id="Rd041f0cfb68d42e8" /><Relationship Type="http://schemas.openxmlformats.org/officeDocument/2006/relationships/worksheet" Target="/xl/worksheets/sheet1.xml" Id="R65bd90097b774f2f" /><Relationship Type="http://schemas.openxmlformats.org/officeDocument/2006/relationships/worksheet" Target="/xl/worksheets/sheet2.xml" Id="Rc59a4346584d4cca" /><Relationship Type="http://schemas.openxmlformats.org/officeDocument/2006/relationships/worksheet" Target="/xl/worksheets/sheet3.xml" Id="R371959962c914bb0" /><Relationship Type="http://schemas.openxmlformats.org/officeDocument/2006/relationships/worksheet" Target="/xl/worksheets/sheet4.xml" Id="R3f1efb73afd54a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28a2836ac14bd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Compatibility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'Dashboard'!$A$11:$A$20</c:f>
              <c:strCache>
                <c:ptCount val="0"/>
              </c:strCache>
            </c:strRef>
          </c:cat>
          <c:val>
            <c:numRef>
              <c:f>'Dashboard'!$B$11:$B$20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11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28a2836ac14bd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atibilityTable" displayName="CompatibilityTable" ref="A1:S9" headerRowCount="1" totalsRowCount="0" totalsRowShown="0">
  <x:tableColumns count="19">
    <x:tableColumn id="1" name="Game"/>
    <x:tableColumn id="2" name="SWF Filename"/>
    <x:tableColumn id="3" name="Status"/>
    <x:tableColumn id="4" name="Performance"/>
    <x:tableColumn id="5" name="Controls"/>
    <x:tableColumn id="6" name="Input Type"/>
    <x:tableColumn id="7" name="Content Type"/>
    <x:tableColumn id="8" name="Backend"/>
    <x:tableColumn id="9" name="CFW"/>
    <x:tableColumn id="10" name="Device"/>
    <x:tableColumn id="11" name="SoC"/>
    <x:tableColumn id="12" name="Architecture"/>
    <x:tableColumn id="13" name="Audio"/>
    <x:tableColumn id="14" name="Profile"/>
    <x:tableColumn id="15" name="Project Version"/>
    <x:tableColumn id="16" name="Test Date"/>
    <x:tableColumn id="17" name="Reporter"/>
    <x:tableColumn id="18" name="Notes"/>
    <x:tableColumn id="19" name="Issue / 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rolProfilesTable" displayName="ControlProfilesTable" ref="A1:N10" headerRowCount="1" totalsRowCount="0" totalsRowShown="0">
  <x:tableColumns count="14">
    <x:tableColumn id="1" name="Game"/>
    <x:tableColumn id="2" name="Profile File"/>
    <x:tableColumn id="3" name="Aliases"/>
    <x:tableColumn id="4" name="A Policy"/>
    <x:tableColumn id="5" name="Mouse Click"/>
    <x:tableColumn id="6" name="A"/>
    <x:tableColumn id="7" name="B"/>
    <x:tableColumn id="8" name="X"/>
    <x:tableColumn id="9" name="Y"/>
    <x:tableColumn id="10" name="Start"/>
    <x:tableColumn id="11" name="Select"/>
    <x:tableColumn id="12" name="L1"/>
    <x:tableColumn id="13" name="R2/Internal"/>
    <x:tableColumn id="1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270797650444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8f5482decb046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e30770dc5c9a4ae8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>
      <x:c r="A1" s="4" t="str">
        <x:v>Status</x:v>
      </x:c>
      <x:c r="B1" s="4" t="str">
        <x:v>Performance</x:v>
      </x:c>
      <x:c r="C1" s="4" t="str">
        <x:v>Controls</x:v>
      </x:c>
      <x:c r="D1" s="4" t="str">
        <x:v>Input Type</x:v>
      </x:c>
      <x:c r="E1" s="4" t="str">
        <x:v>Content Type</x:v>
      </x:c>
      <x:c r="F1" s="4" t="str">
        <x:v>Audio</x:v>
      </x:c>
    </x:row>
    <x:row r="2">
      <x:c r="A2" t="str">
        <x:v>Perfect</x:v>
      </x:c>
      <x:c r="B2" t="str">
        <x:v>High</x:v>
      </x:c>
      <x:c r="C2" t="str">
        <x:v>Working</x:v>
      </x:c>
      <x:c r="D2" t="str">
        <x:v>Mouse</x:v>
      </x:c>
      <x:c r="E2" t="str">
        <x:v>Single SWF</x:v>
      </x:c>
      <x:c r="F2" t="str">
        <x:v>Works</x:v>
      </x:c>
    </x:row>
    <x:row r="3">
      <x:c r="A3" t="str">
        <x:v>Playable</x:v>
      </x:c>
      <x:c r="B3" t="str">
        <x:v>Medium</x:v>
      </x:c>
      <x:c r="C3" t="str">
        <x:v>Custom profile</x:v>
      </x:c>
      <x:c r="D3" t="str">
        <x:v>Keyboard</x:v>
      </x:c>
      <x:c r="E3" t="str">
        <x:v>Multi-file</x:v>
      </x:c>
      <x:c r="F3" t="str">
        <x:v>Issues</x:v>
      </x:c>
    </x:row>
    <x:row r="4">
      <x:c r="A4" t="str">
        <x:v>Partial</x:v>
      </x:c>
      <x:c r="B4" t="str">
        <x:v>Low</x:v>
      </x:c>
      <x:c r="C4" t="str">
        <x:v>Partial</x:v>
      </x:c>
      <x:c r="D4" t="str">
        <x:v>Hybrid</x:v>
      </x:c>
      <x:c r="E4" t="str">
        <x:v>Network-dependent</x:v>
      </x:c>
      <x:c r="F4" t="str">
        <x:v>No audio</x:v>
      </x:c>
    </x:row>
    <x:row r="5">
      <x:c r="A5" t="str">
        <x:v>Boots</x:v>
      </x:c>
      <x:c r="B5" t="str">
        <x:v>Unknown</x:v>
      </x:c>
      <x:c r="C5" t="str">
        <x:v>Mouse-only</x:v>
      </x:c>
      <x:c r="D5" t="str">
        <x:v>Unknown</x:v>
      </x:c>
      <x:c r="E5" t="str">
        <x:v>Unknown</x:v>
      </x:c>
      <x:c r="F5" t="str">
        <x:v>Unknown</x:v>
      </x:c>
    </x:row>
    <x:row r="6">
      <x:c r="A6" t="str">
        <x:v>Doesn't open</x:v>
      </x:c>
      <x:c r="B6" t="str">
        <x:v>N/A</x:v>
      </x:c>
      <x:c r="C6" t="str">
        <x:v>Needs profile</x:v>
      </x:c>
      <x:c r="D6" t="str"/>
      <x:c r="E6" t="str"/>
      <x:c r="F6" t="str">
        <x:v>N/A</x:v>
      </x:c>
    </x:row>
    <x:row r="7">
      <x:c r="A7" t="str">
        <x:v>Black screen</x:v>
      </x:c>
      <x:c r="B7" t="str"/>
      <x:c r="C7" t="str">
        <x:v>Broken</x:v>
      </x:c>
      <x:c r="D7" t="str"/>
      <x:c r="E7" t="str"/>
      <x:c r="F7" t="str"/>
    </x:row>
    <x:row r="8">
      <x:c r="A8" t="str">
        <x:v>White screen</x:v>
      </x:c>
      <x:c r="B8" t="str"/>
      <x:c r="C8" t="str"/>
      <x:c r="D8" t="str"/>
      <x:c r="E8" t="str"/>
      <x:c r="F8" t="str"/>
    </x:row>
    <x:row r="9">
      <x:c r="A9" t="str">
        <x:v>Crash</x:v>
      </x:c>
      <x:c r="B9" t="str"/>
      <x:c r="C9" t="str"/>
      <x:c r="D9" t="str"/>
      <x:c r="E9" t="str"/>
      <x:c r="F9" t="str"/>
    </x:row>
    <x:row r="10">
      <x:c r="A10" t="str">
        <x:v>Needs assets</x:v>
      </x:c>
      <x:c r="B10" t="str"/>
      <x:c r="C10" t="str"/>
      <x:c r="D10" t="str"/>
      <x:c r="E10" t="str"/>
      <x:c r="F10" t="str"/>
    </x:row>
    <x:row r="11">
      <x:c r="A11" t="str">
        <x:v>Untested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6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  <x:col min="10" max="10" width="20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8" hidden="0" customWidth="1"/>
    <x:col min="16" max="16" width="14" hidden="0" customWidth="1"/>
    <x:col min="17" max="17" width="18" hidden="0" customWidth="1"/>
    <x:col min="18" max="18" width="42" hidden="0" customWidth="1"/>
    <x:col min="19" max="19" width="30" hidden="0" customWidth="1"/>
  </x:cols>
  <x:sheetData>
    <x:row r="1">
      <x:c r="A1" s="10" t="str">
        <x:v>Game</x:v>
      </x:c>
      <x:c r="B1" s="10" t="str">
        <x:v>SWF Filename</x:v>
      </x:c>
      <x:c r="C1" s="10" t="str">
        <x:v>Status</x:v>
      </x:c>
      <x:c r="D1" s="10" t="str">
        <x:v>Performance</x:v>
      </x:c>
      <x:c r="E1" s="10" t="str">
        <x:v>Controls</x:v>
      </x:c>
      <x:c r="F1" s="10" t="str">
        <x:v>Input Type</x:v>
      </x:c>
      <x:c r="G1" s="10" t="str">
        <x:v>Content Type</x:v>
      </x:c>
      <x:c r="H1" s="10" t="str">
        <x:v>Backend</x:v>
      </x:c>
      <x:c r="I1" s="10" t="str">
        <x:v>CFW</x:v>
      </x:c>
      <x:c r="J1" s="10" t="str">
        <x:v>Device</x:v>
      </x:c>
      <x:c r="K1" s="10" t="str">
        <x:v>SoC</x:v>
      </x:c>
      <x:c r="L1" s="10" t="str">
        <x:v>Architecture</x:v>
      </x:c>
      <x:c r="M1" s="10" t="str">
        <x:v>Audio</x:v>
      </x:c>
      <x:c r="N1" s="10" t="str">
        <x:v>Profile</x:v>
      </x:c>
      <x:c r="O1" s="10" t="str">
        <x:v>Project Version</x:v>
      </x:c>
      <x:c r="P1" s="10" t="str">
        <x:v>Test Date</x:v>
      </x:c>
      <x:c r="Q1" s="10" t="str">
        <x:v>Reporter</x:v>
      </x:c>
      <x:c r="R1" s="10" t="str">
        <x:v>Notes</x:v>
      </x:c>
      <x:c r="S1" s="10" t="str">
        <x:v>Issue / PR</x:v>
      </x:c>
    </x:row>
    <x:row r="2">
      <x:c r="A2" s="14" t="str">
        <x:v>Fancy Pants Adventure World 1</x:v>
      </x:c>
      <x:c r="B2" s="14" t="str">
        <x:v>the-fancy-pants-adventure-1.swf</x:v>
      </x:c>
      <x:c r="C2" s="14" t="str">
        <x:v>Playable</x:v>
      </x:c>
      <x:c r="D2" s="14" t="str">
        <x:v>High</x:v>
      </x:c>
      <x:c r="E2" s="14" t="str">
        <x:v>Custom profile</x:v>
      </x:c>
      <x:c r="F2" s="14" t="str">
        <x:v>Hybrid</x:v>
      </x:c>
      <x:c r="G2" s="14" t="str">
        <x:v>Single SWF</x:v>
      </x:c>
      <x:c r="H2" s="14" t="str">
        <x:v>Native</x:v>
      </x:c>
      <x:c r="I2" s="14" t="str">
        <x:v>EmuELEC</x:v>
      </x:c>
      <x:c r="J2" s="14" t="str">
        <x:v>RK3326 handheld</x:v>
      </x:c>
      <x:c r="K2" s="14" t="str">
        <x:v>RK3326</x:v>
      </x:c>
      <x:c r="L2" s="14" t="str">
        <x:v>aarch64</x:v>
      </x:c>
      <x:c r="M2" s="14" t="str">
        <x:v>Unknown</x:v>
      </x:c>
      <x:c r="N2" s="14" t="str">
        <x:v>the-fancy-pants-adventure-1.profile</x:v>
      </x:c>
      <x:c r="O2" s="14" t="str">
        <x:v>0.8.2</x:v>
      </x:c>
      <x:c r="P2" s="14" t="str"/>
      <x:c r="Q2" s="14" t="str">
        <x:v>Maintainer</x:v>
      </x:c>
      <x:c r="R2" s="14" t="str">
        <x:v>Runs well on the tested RK3326/EmuELEC setup. Custom handheld profile in use.</x:v>
      </x:c>
      <x:c r="S2" s="14" t="str"/>
    </x:row>
    <x:row r="3">
      <x:c r="A3" s="14" t="str">
        <x:v>The World's Hardest Game</x:v>
      </x:c>
      <x:c r="B3" s="14" t="str">
        <x:v>The World Hardest Game.swf</x:v>
      </x:c>
      <x:c r="C3" s="14" t="str">
        <x:v>Playable</x:v>
      </x:c>
      <x:c r="D3" s="14" t="str">
        <x:v>High</x:v>
      </x:c>
      <x:c r="E3" s="14" t="str">
        <x:v>Custom profile</x:v>
      </x:c>
      <x:c r="F3" s="14" t="str">
        <x:v>Hybrid</x:v>
      </x:c>
      <x:c r="G3" s="14" t="str">
        <x:v>Single SWF</x:v>
      </x:c>
      <x:c r="H3" s="14" t="str">
        <x:v>Native</x:v>
      </x:c>
      <x:c r="I3" s="14" t="str">
        <x:v>EmuELEC</x:v>
      </x:c>
      <x:c r="J3" s="14" t="str">
        <x:v>RK3326 handheld</x:v>
      </x:c>
      <x:c r="K3" s="14" t="str">
        <x:v>RK3326</x:v>
      </x:c>
      <x:c r="L3" s="14" t="str">
        <x:v>aarch64</x:v>
      </x:c>
      <x:c r="M3" s="14" t="str">
        <x:v>Unknown</x:v>
      </x:c>
      <x:c r="N3" s="14" t="str">
        <x:v>the-world-hardest-game.profile</x:v>
      </x:c>
      <x:c r="O3" s="14" t="str">
        <x:v>0.8.2</x:v>
      </x:c>
      <x:c r="P3" s="14" t="str"/>
      <x:c r="Q3" s="14" t="str">
        <x:v>Maintainer</x:v>
      </x:c>
      <x:c r="R3" s="14" t="str">
        <x:v>Runs well on the tested RK3326/EmuELEC setup. Movement and click controls working.</x:v>
      </x:c>
      <x:c r="S3" s="14" t="str"/>
    </x:row>
    <x:row r="4">
      <x:c r="A4" s="14" t="str">
        <x:v>Dad 'n Me</x:v>
      </x:c>
      <x:c r="B4" s="14" t="str">
        <x:v>dadnme.swf</x:v>
      </x:c>
      <x:c r="C4" s="14" t="str">
        <x:v>Playable</x:v>
      </x:c>
      <x:c r="D4" s="14" t="str">
        <x:v>Medium</x:v>
      </x:c>
      <x:c r="E4" s="14" t="str">
        <x:v>Custom profile</x:v>
      </x:c>
      <x:c r="F4" s="14" t="str">
        <x:v>Keyboard + mouse</x:v>
      </x:c>
      <x:c r="G4" s="14" t="str">
        <x:v>Single SWF</x:v>
      </x:c>
      <x:c r="H4" s="14" t="str">
        <x:v>Native</x:v>
      </x:c>
      <x:c r="I4" s="14" t="str">
        <x:v>EmuELEC</x:v>
      </x:c>
      <x:c r="J4" s="14" t="str">
        <x:v>RK3326 handheld</x:v>
      </x:c>
      <x:c r="K4" s="14" t="str">
        <x:v>RK3326</x:v>
      </x:c>
      <x:c r="L4" s="14" t="str">
        <x:v>aarch64</x:v>
      </x:c>
      <x:c r="M4" s="14" t="str">
        <x:v>Unknown</x:v>
      </x:c>
      <x:c r="N4" s="14" t="str">
        <x:v>dad-n-me.profile</x:v>
      </x:c>
      <x:c r="O4" s="14" t="str">
        <x:v>0.8.2</x:v>
      </x:c>
      <x:c r="P4" s="14" t="str"/>
      <x:c r="Q4" s="14" t="str">
        <x:v>Maintainer</x:v>
      </x:c>
      <x:c r="R4" s="14" t="str">
        <x:v>Playable with medium performance on the tested RK3326/EmuELEC setup.</x:v>
      </x:c>
      <x:c r="S4" s="14" t="str"/>
    </x:row>
    <x:row r="5">
      <x:c r="A5" s="14" t="str">
        <x:v>Papa's Pizzeria</x:v>
      </x:c>
      <x:c r="B5" s="14" t="str">
        <x:v>papas-pizzeria.swf</x:v>
      </x:c>
      <x:c r="C5" s="14" t="str">
        <x:v>Playable</x:v>
      </x:c>
      <x:c r="D5" s="14" t="str">
        <x:v>High</x:v>
      </x:c>
      <x:c r="E5" s="14" t="str">
        <x:v>Mouse-only</x:v>
      </x:c>
      <x:c r="F5" s="14" t="str">
        <x:v>Mouse</x:v>
      </x:c>
      <x:c r="G5" s="14" t="str">
        <x:v>Single SWF</x:v>
      </x:c>
      <x:c r="H5" s="14" t="str">
        <x:v>Native</x:v>
      </x:c>
      <x:c r="I5" s="14" t="str">
        <x:v>EmuELEC</x:v>
      </x:c>
      <x:c r="J5" s="14" t="str">
        <x:v>RK3326 handheld</x:v>
      </x:c>
      <x:c r="K5" s="14" t="str">
        <x:v>RK3326</x:v>
      </x:c>
      <x:c r="L5" s="14" t="str">
        <x:v>aarch64</x:v>
      </x:c>
      <x:c r="M5" s="14" t="str">
        <x:v>Unknown</x:v>
      </x:c>
      <x:c r="N5" s="14" t="str">
        <x:v>papas-pizzeria.profile</x:v>
      </x:c>
      <x:c r="O5" s="14" t="str">
        <x:v>0.8.2</x:v>
      </x:c>
      <x:c r="P5" s="14" t="str"/>
      <x:c r="Q5" s="14" t="str">
        <x:v>Maintainer</x:v>
      </x:c>
      <x:c r="R5" s="14" t="str">
        <x:v>Runs well on the tested RK3326/EmuELEC setup. Mouse controls working.</x:v>
      </x:c>
      <x:c r="S5" s="14" t="str"/>
    </x:row>
    <x:row r="6">
      <x:c r="A6" s="14" t="str">
        <x:v>Henry Stickmin - Breaking the Bank</x:v>
      </x:c>
      <x:c r="B6" s="14" t="str">
        <x:v>henry-stickmin-breaking-the-bank.swf</x:v>
      </x:c>
      <x:c r="C6" s="14" t="str">
        <x:v>Playable</x:v>
      </x:c>
      <x:c r="D6" s="14" t="str">
        <x:v>High</x:v>
      </x:c>
      <x:c r="E6" s="14" t="str">
        <x:v>Mouse-only</x:v>
      </x:c>
      <x:c r="F6" s="14" t="str">
        <x:v>Mouse</x:v>
      </x:c>
      <x:c r="G6" s="14" t="str">
        <x:v>Single SWF</x:v>
      </x:c>
      <x:c r="H6" s="14" t="str">
        <x:v>Native</x:v>
      </x:c>
      <x:c r="I6" s="14" t="str">
        <x:v>EmuELEC</x:v>
      </x:c>
      <x:c r="J6" s="14" t="str">
        <x:v>RK3326 handheld</x:v>
      </x:c>
      <x:c r="K6" s="14" t="str">
        <x:v>RK3326</x:v>
      </x:c>
      <x:c r="L6" s="14" t="str">
        <x:v>aarch64</x:v>
      </x:c>
      <x:c r="M6" s="14" t="str">
        <x:v>Unknown</x:v>
      </x:c>
      <x:c r="N6" s="14" t="str">
        <x:v>henry-stickmin-breaking-the-bank.profile</x:v>
      </x:c>
      <x:c r="O6" s="14" t="str">
        <x:v>0.8.2</x:v>
      </x:c>
      <x:c r="P6" s="14" t="str"/>
      <x:c r="Q6" s="14" t="str">
        <x:v>Maintainer</x:v>
      </x:c>
      <x:c r="R6" s="14" t="str">
        <x:v>Runs well on the tested RK3326/EmuELEC setup. Mouse controls working.</x:v>
      </x:c>
      <x:c r="S6" s="14" t="str"/>
    </x:row>
    <x:row r="7">
      <x:c r="A7" s="14" t="str">
        <x:v>Garfield's Scary Scavenger Hunt</x:v>
      </x:c>
      <x:c r="B7" s="14" t="str"/>
      <x:c r="C7" s="14" t="str">
        <x:v>Playable</x:v>
      </x:c>
      <x:c r="D7" s="14" t="str">
        <x:v>Medium</x:v>
      </x:c>
      <x:c r="E7" s="14" t="str">
        <x:v>Custom profile</x:v>
      </x:c>
      <x:c r="F7" s="14" t="str">
        <x:v>Hybrid</x:v>
      </x:c>
      <x:c r="G7" s="14" t="str">
        <x:v>Multi-file</x:v>
      </x:c>
      <x:c r="H7" s="14" t="str">
        <x:v>Native Multi-file</x:v>
      </x:c>
      <x:c r="I7" s="14" t="str">
        <x:v>EmuELEC</x:v>
      </x:c>
      <x:c r="J7" s="14" t="str">
        <x:v>RK3326 handheld</x:v>
      </x:c>
      <x:c r="K7" s="14" t="str">
        <x:v>RK3326</x:v>
      </x:c>
      <x:c r="L7" s="14" t="str">
        <x:v>aarch64</x:v>
      </x:c>
      <x:c r="M7" s="14" t="str">
        <x:v>Unknown</x:v>
      </x:c>
      <x:c r="N7" s="14" t="str">
        <x:v>garfield-s-scary-scavenger-hunt.profile</x:v>
      </x:c>
      <x:c r="O7" s="14" t="str">
        <x:v>0.8.2</x:v>
      </x:c>
      <x:c r="P7" s="14" t="str"/>
      <x:c r="Q7" s="14" t="str">
        <x:v>Maintainer</x:v>
      </x:c>
      <x:c r="R7" s="14" t="str">
        <x:v>Multi-file test case. Playable with medium performance on the tested RK3326/EmuELEC setup.</x:v>
      </x:c>
      <x:c r="S7" s="14" t="str"/>
    </x:row>
    <x:row r="8">
      <x:c r="A8" s="14" t="str">
        <x:v>Super Mario 63</x:v>
      </x:c>
      <x:c r="B8" s="14" t="str"/>
      <x:c r="C8" s="14" t="str">
        <x:v>Playable</x:v>
      </x:c>
      <x:c r="D8" s="14" t="str">
        <x:v>Low</x:v>
      </x:c>
      <x:c r="E8" s="14" t="str">
        <x:v>Custom profile</x:v>
      </x:c>
      <x:c r="F8" s="14" t="str">
        <x:v>Keyboard + mouse</x:v>
      </x:c>
      <x:c r="G8" s="14" t="str">
        <x:v>Single SWF</x:v>
      </x:c>
      <x:c r="H8" s="14" t="str">
        <x:v>Native</x:v>
      </x:c>
      <x:c r="I8" s="14" t="str">
        <x:v>EmuELEC</x:v>
      </x:c>
      <x:c r="J8" s="14" t="str">
        <x:v>RK3326 handheld</x:v>
      </x:c>
      <x:c r="K8" s="14" t="str">
        <x:v>RK3326</x:v>
      </x:c>
      <x:c r="L8" s="14" t="str">
        <x:v>aarch64</x:v>
      </x:c>
      <x:c r="M8" s="14" t="str">
        <x:v>Unknown</x:v>
      </x:c>
      <x:c r="N8" s="14" t="str">
        <x:v>super-mario-63.profile</x:v>
      </x:c>
      <x:c r="O8" s="14" t="str">
        <x:v>0.8.2</x:v>
      </x:c>
      <x:c r="P8" s="14" t="str"/>
      <x:c r="Q8" s="14" t="str">
        <x:v>Maintainer</x:v>
      </x:c>
      <x:c r="R8" s="14" t="str">
        <x:v>Opens and is playable, but performance is low on the tested RK3326/EmuELEC setup.</x:v>
      </x:c>
      <x:c r="S8" s="14" t="str"/>
    </x:row>
    <x:row r="9">
      <x:c r="A9" s="14" t="str">
        <x:v>Bad Ice-Cream 3</x:v>
      </x:c>
      <x:c r="B9" s="14" t="str"/>
      <x:c r="C9" s="14" t="str">
        <x:v>White screen</x:v>
      </x:c>
      <x:c r="D9" s="14" t="str">
        <x:v>N/A</x:v>
      </x:c>
      <x:c r="E9" s="14" t="str">
        <x:v>Custom profile</x:v>
      </x:c>
      <x:c r="F9" s="14" t="str">
        <x:v>Keyboard + mouse</x:v>
      </x:c>
      <x:c r="G9" s="14" t="str">
        <x:v>Single SWF</x:v>
      </x:c>
      <x:c r="H9" s="14" t="str">
        <x:v>Native</x:v>
      </x:c>
      <x:c r="I9" s="14" t="str">
        <x:v>EmuELEC</x:v>
      </x:c>
      <x:c r="J9" s="14" t="str">
        <x:v>RK3326 handheld</x:v>
      </x:c>
      <x:c r="K9" s="14" t="str">
        <x:v>RK3326</x:v>
      </x:c>
      <x:c r="L9" s="14" t="str">
        <x:v>aarch64</x:v>
      </x:c>
      <x:c r="M9" s="14" t="str">
        <x:v>Unknown</x:v>
      </x:c>
      <x:c r="N9" s="14" t="str">
        <x:v>bad-ice-cream-3.profile</x:v>
      </x:c>
      <x:c r="O9" s="14" t="str">
        <x:v>0.8.2</x:v>
      </x:c>
      <x:c r="P9" s="14" t="str"/>
      <x:c r="Q9" s="14" t="str">
        <x:v>Maintainer</x:v>
      </x:c>
      <x:c r="R9" s="14" t="str">
        <x:v>Game reaches a white screen on the tested setup.</x:v>
      </x:c>
      <x:c r="S9" s="14" t="str"/>
    </x:row>
    <x:row r="10">
      <x:c r="A10" s="14" t="str">
        <x:v>Super Mario Bros. Crossover 3</x:v>
      </x:c>
      <x:c r="B10" s="14"/>
      <x:c r="C10" s="14" t="str">
        <x:v>Doesn't open</x:v>
      </x:c>
      <x:c r="D10" s="14" t="str">
        <x:v>N/A</x:v>
      </x:c>
      <x:c r="E10" s="14"/>
      <x:c r="F10" s="14"/>
      <x:c r="G10" s="14" t="str">
        <x:v>Multi-file</x:v>
      </x:c>
      <x:c r="H10" s="14" t="str">
        <x:v>Native Multi-file</x:v>
      </x:c>
      <x:c r="I10" s="14" t="str">
        <x:v>EmuELEC</x:v>
      </x:c>
      <x:c r="J10" s="14" t="str">
        <x:v>RK3326 handheld</x:v>
      </x:c>
      <x:c r="K10" s="14" t="str">
        <x:v>RK3326</x:v>
      </x:c>
      <x:c r="L10" s="14" t="str">
        <x:v>aarch64</x:v>
      </x:c>
      <x:c r="M10" s="14" t="str">
        <x:v>Unknown</x:v>
      </x:c>
      <x:c r="N10" s="14"/>
      <x:c r="O10" s="14" t="str">
        <x:v>0.8.2</x:v>
      </x:c>
      <x:c r="P10" s="14"/>
      <x:c r="Q10" s="14" t="str">
        <x:v>Maintainer</x:v>
      </x:c>
      <x:c r="R10" s="14" t="str">
        <x:v>Does not open on the tested setup.</x:v>
      </x:c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</x:row>
    <x:row r="366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</x:row>
    <x:row r="367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</x:row>
    <x:row r="368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</x:row>
    <x:row r="369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</x:row>
    <x:row r="370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</x:row>
    <x:row r="37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</x:row>
    <x:row r="372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</x:row>
    <x:row r="373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</x:row>
    <x:row r="374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</x:row>
    <x:row r="375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</x:row>
    <x:row r="376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</x:row>
    <x:row r="377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</x:row>
    <x:row r="378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</x:row>
    <x:row r="379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</x:row>
    <x:row r="380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</x:row>
    <x:row r="38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</x:row>
    <x:row r="382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</x:row>
    <x:row r="383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</x:row>
    <x:row r="384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</x:row>
    <x:row r="385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</x:row>
    <x:row r="386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</x:row>
    <x:row r="387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</x:row>
    <x:row r="388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</x:row>
    <x:row r="389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</x:row>
    <x:row r="390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</x:row>
    <x:row r="39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</x:row>
    <x:row r="392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</x:row>
    <x:row r="393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</x:row>
    <x:row r="394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</x:row>
    <x:row r="395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</x:row>
    <x:row r="396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</x:row>
    <x:row r="397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</x:row>
    <x:row r="398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</x:row>
    <x:row r="399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</x:row>
    <x:row r="400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</x:row>
    <x:row r="40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</x:row>
    <x:row r="402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</x:row>
    <x:row r="403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</x:row>
    <x:row r="404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</x:row>
    <x:row r="405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</x:row>
    <x:row r="406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</x:row>
    <x:row r="407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</x:row>
    <x:row r="408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</x:row>
    <x:row r="409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</x:row>
    <x:row r="410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</x:row>
    <x:row r="41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</x:row>
    <x:row r="412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</x:row>
    <x:row r="413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</x:row>
    <x:row r="414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</x:row>
    <x:row r="415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</x:row>
    <x:row r="416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</x:row>
    <x:row r="417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</x:row>
    <x:row r="418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</x:row>
    <x:row r="419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</x:row>
    <x:row r="420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</x:row>
    <x:row r="42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</x:row>
    <x:row r="422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</x:row>
    <x:row r="423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</x:row>
    <x:row r="424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</x:row>
    <x:row r="425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</x:row>
    <x:row r="426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</x:row>
    <x:row r="427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</x:row>
    <x:row r="428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</x:row>
    <x:row r="429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</x:row>
    <x:row r="430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</x:row>
    <x:row r="43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</x:row>
    <x:row r="432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</x:row>
    <x:row r="433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</x:row>
    <x:row r="434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</x:row>
    <x:row r="435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</x:row>
    <x:row r="436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</x:row>
    <x:row r="437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</x:row>
    <x:row r="438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</x:row>
    <x:row r="439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</x:row>
    <x:row r="440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</x:row>
    <x:row r="44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</x:row>
    <x:row r="442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</x:row>
    <x:row r="443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</x:row>
    <x:row r="444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</x:row>
    <x:row r="445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</x:row>
    <x:row r="446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</x:row>
    <x:row r="447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</x:row>
    <x:row r="448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</x:row>
    <x:row r="449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</x:row>
    <x:row r="450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</x:row>
    <x:row r="45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</x:row>
    <x:row r="452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</x:row>
    <x:row r="453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</x:row>
    <x:row r="454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</x:row>
    <x:row r="455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</x:row>
    <x:row r="456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</x:row>
    <x:row r="457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</x:row>
    <x:row r="458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</x:row>
    <x:row r="459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</x:row>
    <x:row r="460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</x:row>
    <x:row r="46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</x:row>
    <x:row r="462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</x:row>
    <x:row r="463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</x:row>
    <x:row r="464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</x:row>
    <x:row r="465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</x:row>
    <x:row r="466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</x:row>
    <x:row r="467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</x:row>
    <x:row r="468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</x:row>
    <x:row r="469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</x:row>
    <x:row r="470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</x:row>
    <x:row r="47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</x:row>
    <x:row r="472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</x:row>
    <x:row r="473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</x:row>
    <x:row r="474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</x:row>
    <x:row r="475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</x:row>
    <x:row r="476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</x:row>
    <x:row r="477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</x:row>
    <x:row r="478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</x:row>
    <x:row r="479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</x:row>
    <x:row r="480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</x:row>
    <x:row r="48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</x:row>
    <x:row r="482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</x:row>
    <x:row r="483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</x:row>
    <x:row r="484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</x:row>
    <x:row r="485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</x:row>
    <x:row r="486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</x:row>
    <x:row r="487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</x:row>
    <x:row r="488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</x:row>
    <x:row r="489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</x:row>
    <x:row r="490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</x:row>
    <x:row r="49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</x:row>
    <x:row r="492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</x:row>
    <x:row r="493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</x:row>
    <x:row r="494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</x:row>
    <x:row r="495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</x:row>
    <x:row r="496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</x:row>
    <x:row r="497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</x:row>
    <x:row r="498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</x:row>
    <x:row r="499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</x:row>
    <x:row r="500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</x:row>
  </x:sheetData>
  <x:conditionalFormatting sqref="C2:C500">
    <x:cfRule type="expression" dxfId="0" priority="1">
      <x:formula>C2="Perfect"</x:formula>
    </x:cfRule>
    <x:cfRule type="expression" dxfId="1" priority="2">
      <x:formula>C2="Playable"</x:formula>
    </x:cfRule>
    <x:cfRule type="expression" dxfId="2" priority="3">
      <x:formula>OR(C2="Crash",C2="Doesn't open",C2="Black screen")</x:formula>
    </x:cfRule>
    <x:cfRule type="expression" dxfId="3" priority="4">
      <x:formula>C2="Partial"</x:formula>
    </x:cfRule>
    <x:cfRule type="expression" dxfId="7" priority="8">
      <x:formula>C2="White screen"</x:formula>
    </x:cfRule>
  </x:conditionalFormatting>
  <x:conditionalFormatting sqref="D2:D500">
    <x:cfRule type="expression" dxfId="4" priority="5">
      <x:formula>D2="High"</x:formula>
    </x:cfRule>
    <x:cfRule type="expression" dxfId="5" priority="6">
      <x:formula>D2="Medium"</x:formula>
    </x:cfRule>
    <x:cfRule type="expression" dxfId="6" priority="7">
      <x:formula>D2="Low"</x:formula>
    </x:cfRule>
  </x:conditionalFormatting>
  <x:dataValidations count="6">
    <x:dataValidation type="list" sqref="C2:C500">
      <x:formula1>Lists!$A$2:$A$11</x:formula1>
    </x:dataValidation>
    <x:dataValidation type="list" sqref="D2:D500">
      <x:formula1>Lists!$B$2:$B$6</x:formula1>
    </x:dataValidation>
    <x:dataValidation type="list" sqref="E2:E500">
      <x:formula1>Lists!$C$2:$C$7</x:formula1>
    </x:dataValidation>
    <x:dataValidation type="list" sqref="F2:F500">
      <x:formula1>Lists!$D$2:$D$5</x:formula1>
    </x:dataValidation>
    <x:dataValidation type="list" sqref="G2:G500">
      <x:formula1>Lists!$E$2:$E$5</x:formula1>
    </x:dataValidation>
    <x:dataValidation type="list" sqref="M2:M500">
      <x:formula1>Lists!$F$2:$F$6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2707976504445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6" hidden="0" customWidth="1"/>
    <x:col min="3" max="3" width="44" hidden="0" customWidth="1"/>
    <x:col min="4" max="4" width="14" hidden="0" customWidth="1"/>
    <x:col min="5" max="5" width="14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52" hidden="0" customWidth="1"/>
  </x:cols>
  <x:sheetData>
    <x:row r="1">
      <x:c r="A1" s="9" t="str">
        <x:v>Game</x:v>
      </x:c>
      <x:c r="B1" s="9" t="str">
        <x:v>Profile File</x:v>
      </x:c>
      <x:c r="C1" s="9" t="str">
        <x:v>Aliases</x:v>
      </x:c>
      <x:c r="D1" s="9" t="str">
        <x:v>A Policy</x:v>
      </x:c>
      <x:c r="E1" s="9" t="str">
        <x:v>Mouse Click</x:v>
      </x:c>
      <x:c r="F1" s="9" t="str">
        <x:v>A</x:v>
      </x:c>
      <x:c r="G1" s="9" t="str">
        <x:v>B</x:v>
      </x:c>
      <x:c r="H1" s="9" t="str">
        <x:v>X</x:v>
      </x:c>
      <x:c r="I1" s="9" t="str">
        <x:v>Y</x:v>
      </x:c>
      <x:c r="J1" s="9" t="str">
        <x:v>Start</x:v>
      </x:c>
      <x:c r="K1" s="9" t="str">
        <x:v>Select</x:v>
      </x:c>
      <x:c r="L1" s="9" t="str">
        <x:v>L1</x:v>
      </x:c>
      <x:c r="M1" s="9" t="str">
        <x:v>R2/Internal</x:v>
      </x:c>
      <x:c r="N1" s="9" t="str">
        <x:v>Notes</x:v>
      </x:c>
    </x:row>
    <x:row r="2">
      <x:c r="A2" s="14" t="str">
        <x:v>Bad Ice-Cream 3</x:v>
      </x:c>
      <x:c r="B2" s="14" t="str">
        <x:v>bad-ice-cream-3.profile</x:v>
      </x:c>
      <x:c r="C2" s="14" t="str">
        <x:v>bad-icecream-3|bad-ice-cream3|bad-icecream3</x:v>
      </x:c>
      <x:c r="D2" s="14" t="str">
        <x:v>keyboard</x:v>
      </x:c>
      <x:c r="E2" s="14" t="str">
        <x:v>r1</x:v>
      </x:c>
      <x:c r="F2" s="14" t="str">
        <x:v>—</x:v>
      </x:c>
      <x:c r="G2" s="14" t="str">
        <x:v>Space</x:v>
      </x:c>
      <x:c r="H2" s="14" t="str">
        <x:v>—</x:v>
      </x:c>
      <x:c r="I2" s="14" t="str">
        <x:v>—</x:v>
      </x:c>
      <x:c r="J2" s="14" t="str">
        <x:v>—</x:v>
      </x:c>
      <x:c r="K2" s="14" t="str">
        <x:v>—</x:v>
      </x:c>
      <x:c r="L2" s="14" t="str">
        <x:v>—</x:v>
      </x:c>
      <x:c r="M2" s="14" t="str">
        <x:v>—</x:v>
      </x:c>
      <x:c r="N2" s="14" t="str">
        <x:v>Bad Ice-Cream 3 Player 1: arrows move; Space breaks/freezes ice. / Frozen Native reserves A for click, so B=Space. R1 also clicks menus.</x:v>
      </x:c>
    </x:row>
    <x:row r="3">
      <x:c r="A3" s="14" t="str">
        <x:v>Dad n Me</x:v>
      </x:c>
      <x:c r="B3" s="14" t="str">
        <x:v>dad-n-me.profile</x:v>
      </x:c>
      <x:c r="C3" s="14" t="str">
        <x:v>dadnme|dad-n-me|dad-nme|dad-n-me-game|dad-n-me-flash</x:v>
      </x:c>
      <x:c r="D3" s="14" t="str">
        <x:v>disabled</x:v>
      </x:c>
      <x:c r="E3" s="14" t="str">
        <x:v>r1</x:v>
      </x:c>
      <x:c r="F3" s="14" t="str">
        <x:v>Disabled</x:v>
      </x:c>
      <x:c r="G3" s="14" t="str">
        <x:v>—</x:v>
      </x:c>
      <x:c r="H3" s="14" t="str">
        <x:v>S</x:v>
      </x:c>
      <x:c r="I3" s="14" t="str">
        <x:v>A</x:v>
      </x:c>
      <x:c r="J3" s="14" t="str">
        <x:v>—</x:v>
      </x:c>
      <x:c r="K3" s="14" t="str">
        <x:v>—</x:v>
      </x:c>
      <x:c r="L3" s="14" t="str">
        <x:v>—</x:v>
      </x:c>
      <x:c r="M3" s="14" t="str">
        <x:v>—</x:v>
      </x:c>
      <x:c r="N3" s="14" t="str">
        <x:v>Dad 'n Me: arrows walk; keyboard A = light attack, S = heavy attack, Q = quality. / Requested handheld layout: Y = light attack, X = heavy attack, R1 = ONLY click.</x:v>
      </x:c>
    </x:row>
    <x:row r="4">
      <x:c r="A4" s="14" t="str">
        <x:v>Generic Flash</x:v>
      </x:c>
      <x:c r="B4" s="14" t="str">
        <x:v>default.profile</x:v>
      </x:c>
      <x:c r="C4" s="14" t="str">
        <x:v>generic|default</x:v>
      </x:c>
      <x:c r="D4" s="14" t="str">
        <x:v>keyboard</x:v>
      </x:c>
      <x:c r="E4" s="14" t="str">
        <x:v>r1</x:v>
      </x:c>
      <x:c r="F4" s="14" t="str">
        <x:v>Space</x:v>
      </x:c>
      <x:c r="G4" s="14" t="str">
        <x:v>Z</x:v>
      </x:c>
      <x:c r="H4" s="14" t="str">
        <x:v>X</x:v>
      </x:c>
      <x:c r="I4" s="14" t="str">
        <x:v>C</x:v>
      </x:c>
      <x:c r="J4" s="14" t="str">
        <x:v>Enter</x:v>
      </x:c>
      <x:c r="K4" s="14" t="str">
        <x:v>Esc</x:v>
      </x:c>
      <x:c r="L4" s="14" t="str">
        <x:v>Shift</x:v>
      </x:c>
      <x:c r="M4" s="14" t="str">
        <x:v>—</x:v>
      </x:c>
      <x:c r="N4" s="14" t="str">
        <x:v>Generic hybrid Flash profile for frozen Native frontend. / Hybrid default: A=Space and R1 is the mouse click.</x:v>
      </x:c>
    </x:row>
    <x:row r="5">
      <x:c r="A5" s="14" t="str">
        <x:v>Garfield's Scary Scavenger Hunt</x:v>
      </x:c>
      <x:c r="B5" s="14" t="str">
        <x:v>garfield-s-scary-scavenger-hunt.profile</x:v>
      </x:c>
      <x:c r="C5" s="14" t="str">
        <x:v>garfields-scary-scavenger-hunt|garfield-scary-scavenger-hunt|garfield-s-scary-scavenger-hunt</x:v>
      </x:c>
      <x:c r="D5" s="14" t="str">
        <x:v>native</x:v>
      </x:c>
      <x:c r="E5" s="14" t="str">
        <x:v>r1</x:v>
      </x:c>
      <x:c r="F5" s="14" t="str">
        <x:v>Native click</x:v>
      </x:c>
      <x:c r="G5" s="14" t="str">
        <x:v>—</x:v>
      </x:c>
      <x:c r="H5" s="14" t="str">
        <x:v>—</x:v>
      </x:c>
      <x:c r="I5" s="14" t="str">
        <x:v>—</x:v>
      </x:c>
      <x:c r="J5" s="14" t="str">
        <x:v>—</x:v>
      </x:c>
      <x:c r="K5" s="14" t="str">
        <x:v>—</x:v>
      </x:c>
      <x:c r="L5" s="14" t="str">
        <x:v>—</x:v>
      </x:c>
      <x:c r="M5" s="14" t="str">
        <x:v>—</x:v>
      </x:c>
      <x:c r="N5" s="14" t="str">
        <x:v>Garfield: arrow keys move; right stick moves cursor; native A clicks; R1 also clicks.</x:v>
      </x:c>
    </x:row>
    <x:row r="6">
      <x:c r="A6" s="14" t="str">
        <x:v>Henry Stickmin - Breaking the Bank</x:v>
      </x:c>
      <x:c r="B6" s="14" t="str">
        <x:v>henry-stickmin-breaking-the-bank.profile</x:v>
      </x:c>
      <x:c r="C6" s="14" t="str">
        <x:v>henry-stickman-breaking-the-bank|henry-stickmin-breaking-the-bank|breaking-the-bank|henry-stickmin-breaking-bank</x:v>
      </x:c>
      <x:c r="D6" s="14" t="str">
        <x:v>native</x:v>
      </x:c>
      <x:c r="E6" s="14" t="str">
        <x:v>none</x:v>
      </x:c>
      <x:c r="F6" s="14" t="str">
        <x:v>Native click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4" t="str">
        <x:v>—</x:v>
      </x:c>
      <x:c r="M6" s="14" t="str">
        <x:v>—</x:v>
      </x:c>
      <x:c r="N6" s="14" t="str">
        <x:v>Mouse-only: right stick = native cursor; A = native click.</x:v>
      </x:c>
    </x:row>
    <x:row r="7">
      <x:c r="A7" s="14" t="str">
        <x:v>Papa's Pizzeria</x:v>
      </x:c>
      <x:c r="B7" s="14" t="str">
        <x:v>papas-pizzeria.profile</x:v>
      </x:c>
      <x:c r="C7" s="14" t="str">
        <x:v>papa-s-pizzeria|papa-pizzeria|papas-pizzeria</x:v>
      </x:c>
      <x:c r="D7" s="14" t="str">
        <x:v>native</x:v>
      </x:c>
      <x:c r="E7" s="14" t="str">
        <x:v>none</x:v>
      </x:c>
      <x:c r="F7" s="14" t="str">
        <x:v>Native click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4" t="str">
        <x:v>—</x:v>
      </x:c>
      <x:c r="M7" s="14" t="str">
        <x:v>—</x:v>
      </x:c>
      <x:c r="N7" s="14" t="str">
        <x:v>Mouse-only: right stick = native cursor; A = native click.</x:v>
      </x:c>
    </x:row>
    <x:row r="8">
      <x:c r="A8" s="14" t="str">
        <x:v>Super Mario 63</x:v>
      </x:c>
      <x:c r="B8" s="14" t="str">
        <x:v>super-mario-63.profile</x:v>
      </x:c>
      <x:c r="C8" s="14" t="str">
        <x:v>super-mario63|sm63</x:v>
      </x:c>
      <x:c r="D8" s="14" t="str">
        <x:v>keyboard</x:v>
      </x:c>
      <x:c r="E8" s="14" t="str">
        <x:v>r1</x:v>
      </x:c>
      <x:c r="F8" s="14" t="str">
        <x:v>—</x:v>
      </x:c>
      <x:c r="G8" s="14" t="str">
        <x:v>Z</x:v>
      </x:c>
      <x:c r="H8" s="14" t="str">
        <x:v>X</x:v>
      </x:c>
      <x:c r="I8" s="14" t="str">
        <x:v>C</x:v>
      </x:c>
      <x:c r="J8" s="14" t="str">
        <x:v>P</x:v>
      </x:c>
      <x:c r="K8" s="14" t="str">
        <x:v>—</x:v>
      </x:c>
      <x:c r="L8" s="14" t="str">
        <x:v>Shift</x:v>
      </x:c>
      <x:c r="M8" s="14" t="str">
        <x:v>—</x:v>
      </x:c>
      <x:c r="N8" s="14" t="str">
        <x:v>Super Mario 63: arrows move; Z/X/C actions; Shift changes nozzle; P pauses. / Frozen Native reserves A for click: B=Z, X=X, Y=C, L1=Shift, Start=P.</x:v>
      </x:c>
    </x:row>
    <x:row r="9">
      <x:c r="A9" s="14" t="str">
        <x:v>Fancy Pants Adventure World 1</x:v>
      </x:c>
      <x:c r="B9" s="14" t="str">
        <x:v>the-fancy-pants-adventure-1.profile</x:v>
      </x:c>
      <x:c r="C9" s="14" t="str">
        <x:v>fancy-pants-adventure|fancy-pants|the-fancy-pants-adventure|fancy-pants-adventure-world-1|the-fancy-pants-adventure-1</x:v>
      </x:c>
      <x:c r="D9" s="14" t="str">
        <x:v>keyboard</x:v>
      </x:c>
      <x:c r="E9" s="14" t="str">
        <x:v>r1</x:v>
      </x:c>
      <x:c r="F9" s="14" t="str">
        <x:v>S</x:v>
      </x:c>
      <x:c r="G9" s="14" t="str">
        <x:v>—</x:v>
      </x:c>
      <x:c r="H9" s="14" t="str">
        <x:v>—</x:v>
      </x:c>
      <x:c r="I9" s="14" t="str">
        <x:v>Q</x:v>
      </x:c>
      <x:c r="J9" s="14" t="str">
        <x:v>Space</x:v>
      </x:c>
      <x:c r="K9" s="14" t="str">
        <x:v>M</x:v>
      </x:c>
      <x:c r="L9" s="14" t="str">
        <x:v>—</x:v>
      </x:c>
      <x:c r="M9" s="14" t="str">
        <x:v>—</x:v>
      </x:c>
      <x:c r="N9" s="14" t="str">
        <x:v>Fancy Pants Adventure World 1 / A = S (jump), Start = Space (pause), Select = M (mute), Y = Q (quality).</x:v>
      </x:c>
    </x:row>
    <x:row r="10">
      <x:c r="A10" s="14" t="str">
        <x:v>The World's Hardest Game</x:v>
      </x:c>
      <x:c r="B10" s="14" t="str">
        <x:v>the-world-hardest-game.profile</x:v>
      </x:c>
      <x:c r="C10" s="14" t="str">
        <x:v>the-worlds-hardest-game|worlds-hardest-game|world-hardest-game|the-world-hardest-game</x:v>
      </x:c>
      <x:c r="D10" s="14" t="str">
        <x:v>disabled</x:v>
      </x:c>
      <x:c r="E10" s="14" t="str">
        <x:v>r1</x:v>
      </x:c>
      <x:c r="F10" s="14" t="str">
        <x:v>Disabled</x:v>
      </x:c>
      <x:c r="G10" s="14" t="str">
        <x:v>—</x:v>
      </x:c>
      <x:c r="H10" s="14" t="str">
        <x:v>—</x:v>
      </x:c>
      <x:c r="I10" s="14" t="str">
        <x:v>—</x:v>
      </x:c>
      <x:c r="J10" s="14" t="str">
        <x:v>—</x:v>
      </x:c>
      <x:c r="K10" s="14" t="str">
        <x:v>—</x:v>
      </x:c>
      <x:c r="L10" s="14" t="str">
        <x:v>—</x:v>
      </x:c>
      <x:c r="M10" s="14" t="str">
        <x:v>—</x:v>
      </x:c>
      <x:c r="N10" s="14" t="str">
        <x:v>The World's Hardest Game / Arrows/stick move. A is explicitly neutralized so it cannot click.</x:v>
      </x:c>
    </x:row>
  </x:sheetData>
  <x:pageMargins left="0.7" right="0.7" top="0.75" bottom="0.75" header="0.3" footer="0.3"/>
  <x:tableParts count="1">
    <x:tablePart xmlns:r="http://schemas.openxmlformats.org/officeDocument/2006/relationships" r:id="R68f5482decb0465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 ht="30" customHeight="1">
      <x:c r="A1" s="18" t="str">
        <x:v>Ruffle Handheld Community Tracker</x:v>
      </x:c>
      <x:c r="B1" s="18"/>
      <x:c r="C1" s="18"/>
      <x:c r="D1" s="18"/>
      <x:c r="E1" s="18"/>
      <x:c r="F1" s="18"/>
      <x:c r="G1" s="18"/>
      <x:c r="H1" s="18"/>
    </x:row>
    <x:row r="3">
      <x:c r="A3" s="23" t="str">
        <x:v>Metric</x:v>
      </x:c>
      <x:c r="B3" s="23" t="str">
        <x:v>Value</x:v>
      </x:c>
      <x:c r="D3" s="28" t="str">
        <x:v>Community workflow
1. Contributor opens a structured GitHub report.
2. Maintainer verifies device/CFW/version.
3. Update compatibility/games.csv or add a tested profile.
4. Keep different hardware results as separate rows when needed.</x:v>
      </x:c>
      <x:c r="E3" s="28"/>
      <x:c r="F3" s="28"/>
      <x:c r="G3" s="28"/>
      <x:c r="H3" s="28"/>
    </x:row>
    <x:row r="4">
      <x:c r="A4" t="str">
        <x:v>Seeded reports</x:v>
      </x:c>
      <x:c r="B4" t="n">
        <x:f>COUNTA(Compatibility!A2:A500)</x:f>
        <x:v>9</x:v>
      </x:c>
      <x:c r="D4" s="28"/>
      <x:c r="E4" s="28"/>
      <x:c r="F4" s="28"/>
      <x:c r="G4" s="28"/>
      <x:c r="H4" s="28"/>
    </x:row>
    <x:row r="5">
      <x:c r="A5" t="str">
        <x:v>Playable or better</x:v>
      </x:c>
      <x:c r="B5" t="n">
        <x:f>COUNTIF(Compatibility!C2:C500,"Perfect")+COUNTIF(Compatibility!C2:C500,"Playable")</x:f>
        <x:v>7</x:v>
      </x:c>
      <x:c r="D5" s="28"/>
      <x:c r="E5" s="28"/>
      <x:c r="F5" s="28"/>
      <x:c r="G5" s="28"/>
      <x:c r="H5" s="28"/>
    </x:row>
    <x:row r="6">
      <x:c r="A6" t="str">
        <x:v>Needs attention</x:v>
      </x:c>
      <x:c r="B6" t="n">
        <x:f>COUNTIF(Compatibility!C2:C500,"Partial")+COUNTIF(Compatibility!C2:C500,"Boots")+COUNTIF(Compatibility!C2:C500,"Doesn't open")+COUNTIF(Compatibility!C2:C500,"Black screen")+COUNTIF(Compatibility!C2:C500,"Crash")+COUNTIF(Compatibility!C2:C500,"Needs assets")</x:f>
        <x:v>1</x:v>
      </x:c>
      <x:c r="D6" s="28"/>
      <x:c r="E6" s="28"/>
      <x:c r="F6" s="28"/>
      <x:c r="G6" s="28"/>
      <x:c r="H6" s="28"/>
    </x:row>
    <x:row r="7">
      <x:c r="A7" t="str">
        <x:v>Profiles in repo</x:v>
      </x:c>
      <x:c r="B7" t="n">
        <x:f>COUNTA('Control Profiles'!A2:A200)</x:f>
        <x:v>9</x:v>
      </x:c>
      <x:c r="D7" s="28"/>
      <x:c r="E7" s="28"/>
      <x:c r="F7" s="28"/>
      <x:c r="G7" s="28"/>
      <x:c r="H7" s="28"/>
    </x:row>
    <x:row r="8">
      <x:c r="A8" t="str">
        <x:v>Current preview</x:v>
      </x:c>
      <x:c r="B8" t="str">
        <x:v>0.8.2</x:v>
      </x:c>
      <x:c r="D8" s="28"/>
      <x:c r="E8" s="28"/>
      <x:c r="F8" s="28"/>
      <x:c r="G8" s="28"/>
      <x:c r="H8" s="28"/>
    </x:row>
    <x:row r="10">
      <x:c r="A10" s="30" t="str">
        <x:v>Status</x:v>
      </x:c>
      <x:c r="B10" s="30" t="str">
        <x:v>Count</x:v>
      </x:c>
    </x:row>
    <x:row r="11">
      <x:c r="A11" t="str">
        <x:v>Perfect</x:v>
      </x:c>
      <x:c r="B11" t="n">
        <x:f>COUNTIF(Compatibility!$C$2:$C$500,A11)</x:f>
        <x:v>0</x:v>
      </x:c>
    </x:row>
    <x:row r="12">
      <x:c r="A12" t="str">
        <x:v>Playable</x:v>
      </x:c>
      <x:c r="B12" t="n">
        <x:f>COUNTIF(Compatibility!$C$2:$C$500,A12)</x:f>
        <x:v>7</x:v>
      </x:c>
    </x:row>
    <x:row r="13">
      <x:c r="A13" t="str">
        <x:v>Partial</x:v>
      </x:c>
      <x:c r="B13" t="n">
        <x:f>COUNTIF(Compatibility!$C$2:$C$500,A13)</x:f>
        <x:v>0</x:v>
      </x:c>
    </x:row>
    <x:row r="14">
      <x:c r="A14" t="str">
        <x:v>Boots</x:v>
      </x:c>
      <x:c r="B14" t="n">
        <x:f>COUNTIF(Compatibility!$C$2:$C$500,A14)</x:f>
        <x:v>0</x:v>
      </x:c>
    </x:row>
    <x:row r="15">
      <x:c r="A15" t="str">
        <x:v>Doesn't open</x:v>
      </x:c>
      <x:c r="B15" t="n">
        <x:f>COUNTIF(Compatibility!$C$2:$C$500,A15)</x:f>
        <x:v>1</x:v>
      </x:c>
    </x:row>
    <x:row r="16">
      <x:c r="A16" t="str">
        <x:v>Black screen</x:v>
      </x:c>
      <x:c r="B16" t="n">
        <x:f>COUNTIF(Compatibility!$C$2:$C$500,A16)</x:f>
        <x:v>0</x:v>
      </x:c>
    </x:row>
    <x:row r="17">
      <x:c r="A17" t="str">
        <x:v>White screen</x:v>
      </x:c>
      <x:c r="B17" t="n">
        <x:f>COUNTIF(Compatibility!$C$2:$C$500,A17)</x:f>
        <x:v>1</x:v>
      </x:c>
    </x:row>
    <x:row r="18">
      <x:c r="A18" t="str">
        <x:v>Crash</x:v>
      </x:c>
      <x:c r="B18" t="n">
        <x:f>COUNTIF(Compatibility!$C$2:$C$500,A18)</x:f>
        <x:v>0</x:v>
      </x:c>
    </x:row>
    <x:row r="19">
      <x:c r="A19" t="str">
        <x:v>Needs assets</x:v>
      </x:c>
      <x:c r="B19" t="n">
        <x:f>COUNTIF(Compatibility!$C$2:$C$500,A19)</x:f>
        <x:v>0</x:v>
      </x:c>
    </x:row>
    <x:row r="20">
      <x:c r="A20" t="str">
        <x:v>Untested</x:v>
      </x:c>
      <x:c r="B20" t="n">
        <x:f>COUNTIF(Compatibility!$C$2:$C$500,A20)</x:f>
        <x:v>0</x:v>
      </x:c>
    </x:row>
  </x:sheetData>
  <x:mergeCells>
    <x:mergeCell ref="A1:H1"/>
    <x:mergeCell ref="D3:H8"/>
  </x:mergeCells>
  <x:pageMargins left="0.7" right="0.7" top="0.75" bottom="0.75" header="0.3" footer="0.3"/>
  <x:drawing xmlns:r="http://schemas.openxmlformats.org/officeDocument/2006/relationships" r:id="Re30770dc5c9a4ae8"/>
</x:worksheet>
</file>