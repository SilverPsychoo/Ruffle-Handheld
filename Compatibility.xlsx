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onat\Downloads\"/>
    </mc:Choice>
  </mc:AlternateContent>
  <xr:revisionPtr revIDLastSave="0" documentId="13_ncr:1_{1203DB89-2E2C-43F9-AAED-64CFFE57912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Lists" sheetId="1" r:id="rId1"/>
    <sheet name="Compatibility" sheetId="2" r:id="rId2"/>
    <sheet name="Control Profiles" sheetId="3" r:id="rId3"/>
    <sheet name="Dashboard" sheetId="4" r:id="rId4"/>
  </sheets>
  <calcPr calcId="181029"/>
</workbook>
</file>

<file path=xl/calcChain.xml><?xml version="1.0" encoding="utf-8"?>
<calcChain xmlns="http://schemas.openxmlformats.org/spreadsheetml/2006/main">
  <c r="B20" i="4" l="1"/>
  <c r="B19" i="4"/>
  <c r="B18" i="4"/>
  <c r="B17" i="4"/>
  <c r="B16" i="4"/>
  <c r="B15" i="4"/>
  <c r="B14" i="4"/>
  <c r="B13" i="4"/>
  <c r="B12" i="4"/>
  <c r="B11" i="4"/>
  <c r="B7" i="4"/>
  <c r="B6" i="4"/>
  <c r="B5" i="4"/>
  <c r="B4" i="4"/>
</calcChain>
</file>

<file path=xl/sharedStrings.xml><?xml version="1.0" encoding="utf-8"?>
<sst xmlns="http://schemas.openxmlformats.org/spreadsheetml/2006/main" count="548" uniqueCount="188">
  <si>
    <t>Status</t>
  </si>
  <si>
    <t>Performance</t>
  </si>
  <si>
    <t>Controls</t>
  </si>
  <si>
    <t>Input Type</t>
  </si>
  <si>
    <t>Content Type</t>
  </si>
  <si>
    <t>Audio</t>
  </si>
  <si>
    <t>Perfect</t>
  </si>
  <si>
    <t>High</t>
  </si>
  <si>
    <t>Working</t>
  </si>
  <si>
    <t>Mouse</t>
  </si>
  <si>
    <t>Single SWF</t>
  </si>
  <si>
    <t>Works</t>
  </si>
  <si>
    <t>Playable</t>
  </si>
  <si>
    <t>Medium</t>
  </si>
  <si>
    <t>Custom profile</t>
  </si>
  <si>
    <t>Keyboard</t>
  </si>
  <si>
    <t>Multi-file</t>
  </si>
  <si>
    <t>Issues</t>
  </si>
  <si>
    <t>Partial</t>
  </si>
  <si>
    <t>Low</t>
  </si>
  <si>
    <t>Hybrid</t>
  </si>
  <si>
    <t>Network-dependent</t>
  </si>
  <si>
    <t>No audio</t>
  </si>
  <si>
    <t>Boots</t>
  </si>
  <si>
    <t>Unknown</t>
  </si>
  <si>
    <t>Mouse-only</t>
  </si>
  <si>
    <t>Doesn't open</t>
  </si>
  <si>
    <t>N/A</t>
  </si>
  <si>
    <t>Needs profile</t>
  </si>
  <si>
    <t>Black screen</t>
  </si>
  <si>
    <t>Broken</t>
  </si>
  <si>
    <t>White screen</t>
  </si>
  <si>
    <t>Crash</t>
  </si>
  <si>
    <t>Needs assets</t>
  </si>
  <si>
    <t>Untested</t>
  </si>
  <si>
    <t>Game</t>
  </si>
  <si>
    <t>SWF Filename</t>
  </si>
  <si>
    <t>Backend</t>
  </si>
  <si>
    <t>CFW</t>
  </si>
  <si>
    <t>Device</t>
  </si>
  <si>
    <t>SoC</t>
  </si>
  <si>
    <t>Architecture</t>
  </si>
  <si>
    <t>Profile</t>
  </si>
  <si>
    <t>Project Version</t>
  </si>
  <si>
    <t>Test Date</t>
  </si>
  <si>
    <t>Reporter</t>
  </si>
  <si>
    <t>Notes</t>
  </si>
  <si>
    <t>Issue / PR</t>
  </si>
  <si>
    <t>Fancy Pants Adventure World 1</t>
  </si>
  <si>
    <t>the-fancy-pants-adventure-1.swf</t>
  </si>
  <si>
    <t>Native</t>
  </si>
  <si>
    <t>EmuELEC</t>
  </si>
  <si>
    <t>RK3326 handheld</t>
  </si>
  <si>
    <t>RK3326</t>
  </si>
  <si>
    <t>aarch64</t>
  </si>
  <si>
    <t>the-fancy-pants-adventure-1.profile</t>
  </si>
  <si>
    <t>0.7.7</t>
  </si>
  <si>
    <t>Maintainer</t>
  </si>
  <si>
    <t>Runs well on the tested RK3326/EmuELEC setup. Custom handheld profile in use.</t>
  </si>
  <si>
    <t>The World's Hardest Game</t>
  </si>
  <si>
    <t>The World Hardest Game.swf</t>
  </si>
  <si>
    <t>the-world-hardest-game.profile</t>
  </si>
  <si>
    <t>Runs well on the tested RK3326/EmuELEC setup. Movement and click controls working.</t>
  </si>
  <si>
    <t>Dad 'n Me</t>
  </si>
  <si>
    <t>dadnme.swf</t>
  </si>
  <si>
    <t>Keyboard + mouse</t>
  </si>
  <si>
    <t>dad-n-me.profile</t>
  </si>
  <si>
    <t>Playable with medium performance on the tested RK3326/EmuELEC setup.</t>
  </si>
  <si>
    <t>Papa's Pizzeria</t>
  </si>
  <si>
    <t>papas-pizzeria.swf</t>
  </si>
  <si>
    <t>papas-pizzeria.profile</t>
  </si>
  <si>
    <t>Runs well on the tested RK3326/EmuELEC setup. Mouse controls working.</t>
  </si>
  <si>
    <t>Henry Stickmin - Breaking the Bank</t>
  </si>
  <si>
    <t>henry-stickmin-breaking-the-bank.swf</t>
  </si>
  <si>
    <t>henry-stickmin-breaking-the-bank.profile</t>
  </si>
  <si>
    <t>Garfield's Scary Scavenger Hunt</t>
  </si>
  <si>
    <t>Native Multi-file</t>
  </si>
  <si>
    <t>garfield-s-scary-scavenger-hunt.profile</t>
  </si>
  <si>
    <t>Multi-file test case. Playable with medium performance on the tested RK3326/EmuELEC setup.</t>
  </si>
  <si>
    <t>Super Mario 63</t>
  </si>
  <si>
    <t>super-mario-63.profile</t>
  </si>
  <si>
    <t>Opens and is playable, but performance is low on the tested RK3326/EmuELEC setup.</t>
  </si>
  <si>
    <t>Bad Ice-Cream 3</t>
  </si>
  <si>
    <t>bad-ice-cream-3.profile</t>
  </si>
  <si>
    <t>Game reaches a white screen on the tested setup.</t>
  </si>
  <si>
    <t>Super Mario Bros. Crossover 3</t>
  </si>
  <si>
    <t>Does not open on the tested setup.</t>
  </si>
  <si>
    <t>Bejeweled 2 (Original)</t>
  </si>
  <si>
    <t>bejeweled-2.profile</t>
  </si>
  <si>
    <t>0.8.21</t>
  </si>
  <si>
    <t>Original Bejeweled 2 build crashes on the tested setup. The King.com build is tracked separately.</t>
  </si>
  <si>
    <t>Minecraft Tower Defense</t>
  </si>
  <si>
    <t>minecrafttowerdefense.profile</t>
  </si>
  <si>
    <t>Final Fantasy Sonic X5</t>
  </si>
  <si>
    <t>final-fantasy-sonic-x5.profile</t>
  </si>
  <si>
    <t>Runs well with high performance on the tested RK3326/EmuELEC setup.</t>
  </si>
  <si>
    <t>Bejeweled 2 (King.com)</t>
  </si>
  <si>
    <t>King.com build runs well with high performance on the tested setup.</t>
  </si>
  <si>
    <t>We Dancing Online</t>
  </si>
  <si>
    <t>we_dancing_online.swf</t>
  </si>
  <si>
    <t>we-dancing-online.profile</t>
  </si>
  <si>
    <t>Runs well with high performance. D-pad/keyboard mapping and mouse-menu click profile in use.</t>
  </si>
  <si>
    <t>Ultimate Flash Sonic</t>
  </si>
  <si>
    <t>ultimate-flash-sonic.profile</t>
  </si>
  <si>
    <t>Profile File</t>
  </si>
  <si>
    <t>Aliases</t>
  </si>
  <si>
    <t>A Policy</t>
  </si>
  <si>
    <t>Mouse Click</t>
  </si>
  <si>
    <t>A</t>
  </si>
  <si>
    <t>B</t>
  </si>
  <si>
    <t>X</t>
  </si>
  <si>
    <t>Y</t>
  </si>
  <si>
    <t>Start</t>
  </si>
  <si>
    <t>Select</t>
  </si>
  <si>
    <t>L1</t>
  </si>
  <si>
    <t>R2/Internal</t>
  </si>
  <si>
    <t>bad-icecream-3|bad-ice-cream3|bad-icecream3</t>
  </si>
  <si>
    <t>keyboard</t>
  </si>
  <si>
    <t>r1</t>
  </si>
  <si>
    <t>—</t>
  </si>
  <si>
    <t>Space</t>
  </si>
  <si>
    <t>Bad Ice-Cream 3 Player 1: arrows move; Space breaks/freezes ice. / Frozen Native reserves A for click, so B=Space. R1 also clicks menus.</t>
  </si>
  <si>
    <t>Dad n Me</t>
  </si>
  <si>
    <t>dadnme|dad-n-me|dad-nme|dad-n-me-game|dad-n-me-flash</t>
  </si>
  <si>
    <t>disabled</t>
  </si>
  <si>
    <t>Disabled</t>
  </si>
  <si>
    <t>S</t>
  </si>
  <si>
    <t>Dad 'n Me: arrows walk; keyboard A = light attack, S = heavy attack, Q = quality. / Requested handheld layout: Y = light attack, X = heavy attack, R1 = ONLY click.</t>
  </si>
  <si>
    <t>Generic Flash</t>
  </si>
  <si>
    <t>default.profile</t>
  </si>
  <si>
    <t>generic|default</t>
  </si>
  <si>
    <t>Z</t>
  </si>
  <si>
    <t>C</t>
  </si>
  <si>
    <t>Enter</t>
  </si>
  <si>
    <t>Esc</t>
  </si>
  <si>
    <t>Shift</t>
  </si>
  <si>
    <t>Generic hybrid Flash profile for frozen Native frontend. / Hybrid default: A=Space and R1 is the mouse click.</t>
  </si>
  <si>
    <t>garfields-scary-scavenger-hunt|garfield-scary-scavenger-hunt|garfield-s-scary-scavenger-hunt</t>
  </si>
  <si>
    <t>native</t>
  </si>
  <si>
    <t>Native click</t>
  </si>
  <si>
    <t>Garfield: arrow keys move; right stick moves cursor; native A clicks; R1 also clicks.</t>
  </si>
  <si>
    <t>henry-stickman-breaking-the-bank|henry-stickmin-breaking-the-bank|breaking-the-bank|henry-stickmin-breaking-bank</t>
  </si>
  <si>
    <t>none</t>
  </si>
  <si>
    <t>Mouse-only: right stick = native cursor; A = native click.</t>
  </si>
  <si>
    <t>papa-s-pizzeria|papa-pizzeria|papas-pizzeria</t>
  </si>
  <si>
    <t>super-mario63|sm63</t>
  </si>
  <si>
    <t>P</t>
  </si>
  <si>
    <t>Super Mario 63: arrows move; Z/X/C actions; Shift changes nozzle; P pauses. / Frozen Native reserves A for click: B=Z, X=X, Y=C, L1=Shift, Start=P.</t>
  </si>
  <si>
    <t>fancy-pants-adventure|fancy-pants|the-fancy-pants-adventure|fancy-pants-adventure-world-1|the-fancy-pants-adventure-1</t>
  </si>
  <si>
    <t>Q</t>
  </si>
  <si>
    <t>M</t>
  </si>
  <si>
    <t>Fancy Pants Adventure World 1 / A = S (jump), Start = Space (pause), Select = M (mute), Y = Q (quality).</t>
  </si>
  <si>
    <t>the-worlds-hardest-game|worlds-hardest-game|world-hardest-game|the-world-hardest-game</t>
  </si>
  <si>
    <t>The World's Hardest Game / Arrows/stick move. A is explicitly neutralized so it cannot click.</t>
  </si>
  <si>
    <t>Bejeweled 2</t>
  </si>
  <si>
    <t>bejeweled2|bejeweled-2-deluxe|bejeweled2deluxe|bejeweled-2-action</t>
  </si>
  <si>
    <t>click</t>
  </si>
  <si>
    <t>a</t>
  </si>
  <si>
    <t>Click</t>
  </si>
  <si>
    <t>Mouse-only. Right stick moves the cursor; A clicks.</t>
  </si>
  <si>
    <t>minecraft-tower-defense|minecraft-tower-defence|minecrafttowerdefence|minecraft-td|minecraft-tower-defense-1</t>
  </si>
  <si>
    <t>Mouse-only. Right stick moves the cursor; A digs, builds and selects.</t>
  </si>
  <si>
    <t>finalfantasysonicx5|final-fantasy-sonic-x-5|final-fantasy-sonic-x-episode-5|final-fantasy-sonic-x5-episode-5|ffsx5</t>
  </si>
  <si>
    <t>Mouse-only RPG. Right stick moves the cursor; A selects.</t>
  </si>
  <si>
    <t>we-dancing-online|wedancingonline</t>
  </si>
  <si>
    <t>unused</t>
  </si>
  <si>
    <t>D-pad = arrows; B = Space; X = X; Y = C; Start = Enter; Select = Esc; L1 = Shift; R1 = click.</t>
  </si>
  <si>
    <t>ultimateflashsonic|ultimate-sonic-flash|ultimate-sonic|ufs</t>
  </si>
  <si>
    <t>Arrows move; A = jump/Spin Dash; Start = pause; R1 = menu click.</t>
  </si>
  <si>
    <t>Super Smash Flash 2</t>
  </si>
  <si>
    <t>ssf2.profile</t>
  </si>
  <si>
    <t>super-smash-flash-2|supersmashflash2|ssf-2|ssf2-v0-8|ssf2-v0-8b|ssf2-v0-9|ssf2-v0-9b|super-smash-flash-2-v0-8|super-smash-flash-2-v0-9</t>
  </si>
  <si>
    <t>O</t>
  </si>
  <si>
    <t>U</t>
  </si>
  <si>
    <t>I</t>
  </si>
  <si>
    <t>Backspace</t>
  </si>
  <si>
    <t>1</t>
  </si>
  <si>
    <t>P1: D-pad = WASD; A attack; B special; X grab; Y shield; Start start; Select pause; L1 taunt; R1 menu click.</t>
  </si>
  <si>
    <t>Ruffle Handheld Community Tracker</t>
  </si>
  <si>
    <t>Metric</t>
  </si>
  <si>
    <t>Value</t>
  </si>
  <si>
    <t>Community workflow
1. Contributor opens a structured GitHub report.
2. Maintainer verifies device/CFW/version.
3. Update compatibility/games.csv or add a tested profile.
4. Keep different hardware results as separate rows when needed.</t>
  </si>
  <si>
    <t>Seeded reports</t>
  </si>
  <si>
    <t>Playable or better</t>
  </si>
  <si>
    <t>Needs attention</t>
  </si>
  <si>
    <t>Profiles in repo</t>
  </si>
  <si>
    <t>Current preview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</si>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</sst>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455A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/>
    <xf numFmtId="0" fontId="1" fillId="5" borderId="0" xfId="0" applyFont="1" applyFill="1"/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8">
    <dxf>
      <fill>
        <patternFill>
          <bgColor rgb="FFF8D7DA"/>
        </patternFill>
      </fill>
    </dxf>
    <dxf>
      <fill>
        <patternFill>
          <bgColor rgb="FFFFF1C7"/>
        </patternFill>
      </fill>
    </dxf>
    <dxf>
      <fill>
        <patternFill>
          <bgColor rgb="FFE6F4EA"/>
        </patternFill>
      </fill>
    </dxf>
    <dxf>
      <fill>
        <patternFill>
          <bgColor rgb="FFF8D7DA"/>
        </patternFill>
      </fill>
    </dxf>
    <dxf>
      <fill>
        <patternFill>
          <bgColor rgb="FFFFF1C7"/>
        </patternFill>
      </fill>
    </dxf>
    <dxf>
      <fill>
        <patternFill>
          <bgColor rgb="FFF8D7DA"/>
        </patternFill>
      </fill>
    </dxf>
    <dxf>
      <fill>
        <patternFill>
          <bgColor rgb="FFE6F4EA"/>
        </patternFill>
      </fill>
    </dxf>
    <dxf>
      <fill>
        <patternFill>
          <bgColor rgb="FFD7F0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Compatibility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Dashboard!$A$11:$A$20</c:f>
              <c:strCache>
                <c:ptCount val="10"/>
                <c:pt idx="0">
                  <c:v>Perfect</c:v>
                </c:pt>
                <c:pt idx="1">
                  <c:v>Playable</c:v>
                </c:pt>
                <c:pt idx="2">
                  <c:v>Partial</c:v>
                </c:pt>
                <c:pt idx="3">
                  <c:v>Boots</c:v>
                </c:pt>
                <c:pt idx="4">
                  <c:v>Doesn't open</c:v>
                </c:pt>
                <c:pt idx="5">
                  <c:v>Black screen</c:v>
                </c:pt>
                <c:pt idx="6">
                  <c:v>White screen</c:v>
                </c:pt>
                <c:pt idx="7">
                  <c:v>Crash</c:v>
                </c:pt>
                <c:pt idx="8">
                  <c:v>Needs assets</c:v>
                </c:pt>
                <c:pt idx="9">
                  <c:v>Untested</c:v>
                </c:pt>
              </c:strCache>
            </c:strRef>
          </c:cat>
          <c:val>
            <c:numRef>
              <c:f>Dashboard!$B$11:$B$20</c:f>
              <c:numCache>
                <c:formatCode>General</c:formatCode>
                <c:ptCount val="10"/>
                <c:pt idx="0">
                  <c:v>8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D-44F6-9802-B6D552F84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11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atibilityTable" displayName="CompatibilityTable" ref="A1:S16" totalsRowShown="0">
  <tableColumns count="19">
    <tableColumn id="1" xr3:uid="{00000000-0010-0000-0000-000001000000}" name="Game"/>
    <tableColumn id="2" xr3:uid="{00000000-0010-0000-0000-000002000000}" name="SWF Filename"/>
    <tableColumn id="3" xr3:uid="{00000000-0010-0000-0000-000003000000}" name="Status"/>
    <tableColumn id="4" xr3:uid="{00000000-0010-0000-0000-000004000000}" name="Performance"/>
    <tableColumn id="5" xr3:uid="{00000000-0010-0000-0000-000005000000}" name="Controls"/>
    <tableColumn id="6" xr3:uid="{00000000-0010-0000-0000-000006000000}" name="Input Type"/>
    <tableColumn id="7" xr3:uid="{00000000-0010-0000-0000-000007000000}" name="Content Type"/>
    <tableColumn id="8" xr3:uid="{00000000-0010-0000-0000-000008000000}" name="Backend"/>
    <tableColumn id="9" xr3:uid="{00000000-0010-0000-0000-000009000000}" name="CFW"/>
    <tableColumn id="10" xr3:uid="{00000000-0010-0000-0000-00000A000000}" name="Device"/>
    <tableColumn id="11" xr3:uid="{00000000-0010-0000-0000-00000B000000}" name="SoC"/>
    <tableColumn id="12" xr3:uid="{00000000-0010-0000-0000-00000C000000}" name="Architecture"/>
    <tableColumn id="13" xr3:uid="{00000000-0010-0000-0000-00000D000000}" name="Audio"/>
    <tableColumn id="14" xr3:uid="{00000000-0010-0000-0000-00000E000000}" name="Profile"/>
    <tableColumn id="15" xr3:uid="{00000000-0010-0000-0000-00000F000000}" name="Project Version"/>
    <tableColumn id="16" xr3:uid="{00000000-0010-0000-0000-000010000000}" name="Test Date"/>
    <tableColumn id="17" xr3:uid="{00000000-0010-0000-0000-000011000000}" name="Reporter"/>
    <tableColumn id="18" xr3:uid="{00000000-0010-0000-0000-000012000000}" name="Notes"/>
    <tableColumn id="19" xr3:uid="{00000000-0010-0000-0000-000013000000}" name="Issue / P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olProfilesTable" displayName="ControlProfilesTable" ref="A1:N16" totalsRowShown="0">
  <tableColumns count="14">
    <tableColumn id="1" xr3:uid="{00000000-0010-0000-0100-000001000000}" name="Game"/>
    <tableColumn id="2" xr3:uid="{00000000-0010-0000-0100-000002000000}" name="Profile File"/>
    <tableColumn id="3" xr3:uid="{00000000-0010-0000-0100-000003000000}" name="Aliases"/>
    <tableColumn id="4" xr3:uid="{00000000-0010-0000-0100-000004000000}" name="A Policy"/>
    <tableColumn id="5" xr3:uid="{00000000-0010-0000-0100-000005000000}" name="Mouse Click"/>
    <tableColumn id="6" xr3:uid="{00000000-0010-0000-0100-000006000000}" name="A"/>
    <tableColumn id="7" xr3:uid="{00000000-0010-0000-0100-000007000000}" name="B"/>
    <tableColumn id="8" xr3:uid="{00000000-0010-0000-0100-000008000000}" name="X"/>
    <tableColumn id="9" xr3:uid="{00000000-0010-0000-0100-000009000000}" name="Y"/>
    <tableColumn id="10" xr3:uid="{00000000-0010-0000-0100-00000A000000}" name="Start"/>
    <tableColumn id="11" xr3:uid="{00000000-0010-0000-0100-00000B000000}" name="Select"/>
    <tableColumn id="12" xr3:uid="{00000000-0010-0000-0100-00000C000000}" name="L1"/>
    <tableColumn id="13" xr3:uid="{00000000-0010-0000-0100-00000D000000}" name="R2/Internal"/>
    <tableColumn id="14" xr3:uid="{00000000-0010-0000-0100-00000E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/>
  </sheetViews>
  <sheetFormatPr baseColWidth="10" defaultColWidth="8.6640625" defaultRowHeight="14"/>
  <cols>
    <col min="1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>
      <c r="A4" t="s">
        <v>18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</row>
    <row r="5" spans="1:6">
      <c r="A5" t="s">
        <v>23</v>
      </c>
      <c r="B5" t="s">
        <v>24</v>
      </c>
      <c r="C5" t="s">
        <v>25</v>
      </c>
      <c r="D5" t="s">
        <v>24</v>
      </c>
      <c r="E5" t="s">
        <v>24</v>
      </c>
      <c r="F5" t="s">
        <v>24</v>
      </c>
    </row>
    <row r="6" spans="1:6">
      <c r="A6" t="s">
        <v>26</v>
      </c>
      <c r="B6" t="s">
        <v>27</v>
      </c>
      <c r="C6" t="s">
        <v>28</v>
      </c>
      <c r="F6" t="s">
        <v>27</v>
      </c>
    </row>
    <row r="7" spans="1:6">
      <c r="A7" t="s">
        <v>29</v>
      </c>
      <c r="C7" t="s">
        <v>30</v>
      </c>
    </row>
    <row r="8" spans="1:6">
      <c r="A8" t="s">
        <v>31</v>
      </c>
    </row>
    <row r="9" spans="1:6">
      <c r="A9" t="s">
        <v>32</v>
      </c>
    </row>
    <row r="10" spans="1:6">
      <c r="A10" t="s">
        <v>33</v>
      </c>
    </row>
    <row r="11" spans="1:6">
      <c r="A11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00"/>
  <sheetViews>
    <sheetView tabSelected="1" workbookViewId="0">
      <selection activeCell="C16" sqref="C16"/>
    </sheetView>
  </sheetViews>
  <sheetFormatPr baseColWidth="10" defaultColWidth="8.6640625" defaultRowHeight="14"/>
  <cols>
    <col min="1" max="1" width="28" customWidth="1"/>
    <col min="2" max="2" width="30" customWidth="1"/>
    <col min="3" max="3" width="16" customWidth="1"/>
    <col min="4" max="4" width="14" customWidth="1"/>
    <col min="5" max="8" width="18" customWidth="1"/>
    <col min="9" max="9" width="16" customWidth="1"/>
    <col min="10" max="10" width="20" customWidth="1"/>
    <col min="11" max="13" width="14" customWidth="1"/>
    <col min="14" max="14" width="34" customWidth="1"/>
    <col min="15" max="15" width="18" customWidth="1"/>
    <col min="16" max="16" width="14" customWidth="1"/>
    <col min="17" max="17" width="18" customWidth="1"/>
    <col min="18" max="18" width="42" customWidth="1"/>
    <col min="19" max="19" width="30" customWidth="1"/>
  </cols>
  <sheetData>
    <row r="1" spans="1:19">
      <c r="A1" s="3" t="s">
        <v>35</v>
      </c>
      <c r="B1" s="3" t="s">
        <v>36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5</v>
      </c>
      <c r="N1" s="3" t="s">
        <v>42</v>
      </c>
      <c r="O1" s="3" t="s">
        <v>43</v>
      </c>
      <c r="P1" s="3" t="s">
        <v>44</v>
      </c>
      <c r="Q1" s="3" t="s">
        <v>45</v>
      </c>
      <c r="R1" s="3" t="s">
        <v>46</v>
      </c>
      <c r="S1" s="3" t="s">
        <v>47</v>
      </c>
    </row>
    <row r="2" spans="1:19" ht="28">
      <c r="A2" s="4" t="s">
        <v>48</v>
      </c>
      <c r="B2" s="4" t="s">
        <v>49</v>
      </c>
      <c r="C2" s="4" t="s">
        <v>6</v>
      </c>
      <c r="D2" s="4" t="s">
        <v>7</v>
      </c>
      <c r="E2" s="4" t="s">
        <v>14</v>
      </c>
      <c r="F2" s="4" t="s">
        <v>20</v>
      </c>
      <c r="G2" s="4" t="s">
        <v>10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24</v>
      </c>
      <c r="N2" s="4" t="s">
        <v>55</v>
      </c>
      <c r="O2" s="4" t="s">
        <v>56</v>
      </c>
      <c r="P2" s="7"/>
      <c r="Q2" s="4" t="s">
        <v>57</v>
      </c>
      <c r="R2" s="4" t="s">
        <v>58</v>
      </c>
      <c r="S2" s="4"/>
    </row>
    <row r="3" spans="1:19" ht="28">
      <c r="A3" s="4" t="s">
        <v>59</v>
      </c>
      <c r="B3" s="4" t="s">
        <v>60</v>
      </c>
      <c r="C3" s="4" t="s">
        <v>6</v>
      </c>
      <c r="D3" s="4" t="s">
        <v>7</v>
      </c>
      <c r="E3" s="4" t="s">
        <v>14</v>
      </c>
      <c r="F3" s="4" t="s">
        <v>20</v>
      </c>
      <c r="G3" s="4" t="s">
        <v>10</v>
      </c>
      <c r="H3" s="4" t="s">
        <v>50</v>
      </c>
      <c r="I3" s="4" t="s">
        <v>51</v>
      </c>
      <c r="J3" s="4" t="s">
        <v>52</v>
      </c>
      <c r="K3" s="4" t="s">
        <v>53</v>
      </c>
      <c r="L3" s="4" t="s">
        <v>54</v>
      </c>
      <c r="M3" s="4" t="s">
        <v>24</v>
      </c>
      <c r="N3" s="4" t="s">
        <v>61</v>
      </c>
      <c r="O3" s="4" t="s">
        <v>56</v>
      </c>
      <c r="P3" s="7"/>
      <c r="Q3" s="4" t="s">
        <v>57</v>
      </c>
      <c r="R3" s="4" t="s">
        <v>62</v>
      </c>
      <c r="S3" s="4"/>
    </row>
    <row r="4" spans="1:19" ht="28">
      <c r="A4" s="4" t="s">
        <v>63</v>
      </c>
      <c r="B4" s="4" t="s">
        <v>64</v>
      </c>
      <c r="C4" s="4" t="s">
        <v>12</v>
      </c>
      <c r="D4" s="4" t="s">
        <v>13</v>
      </c>
      <c r="E4" s="4" t="s">
        <v>14</v>
      </c>
      <c r="F4" s="4" t="s">
        <v>65</v>
      </c>
      <c r="G4" s="4" t="s">
        <v>10</v>
      </c>
      <c r="H4" s="4" t="s">
        <v>50</v>
      </c>
      <c r="I4" s="4" t="s">
        <v>51</v>
      </c>
      <c r="J4" s="4" t="s">
        <v>52</v>
      </c>
      <c r="K4" s="4" t="s">
        <v>53</v>
      </c>
      <c r="L4" s="4" t="s">
        <v>54</v>
      </c>
      <c r="M4" s="4" t="s">
        <v>24</v>
      </c>
      <c r="N4" s="4" t="s">
        <v>66</v>
      </c>
      <c r="O4" s="4" t="s">
        <v>56</v>
      </c>
      <c r="P4" s="7"/>
      <c r="Q4" s="4" t="s">
        <v>57</v>
      </c>
      <c r="R4" s="4" t="s">
        <v>67</v>
      </c>
      <c r="S4" s="4"/>
    </row>
    <row r="5" spans="1:19" ht="28">
      <c r="A5" s="4" t="s">
        <v>68</v>
      </c>
      <c r="B5" s="4" t="s">
        <v>69</v>
      </c>
      <c r="C5" s="4" t="s">
        <v>6</v>
      </c>
      <c r="D5" s="4" t="s">
        <v>7</v>
      </c>
      <c r="E5" s="4" t="s">
        <v>25</v>
      </c>
      <c r="F5" s="4" t="s">
        <v>9</v>
      </c>
      <c r="G5" s="4" t="s">
        <v>10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  <c r="M5" s="4" t="s">
        <v>24</v>
      </c>
      <c r="N5" s="4" t="s">
        <v>70</v>
      </c>
      <c r="O5" s="4" t="s">
        <v>56</v>
      </c>
      <c r="P5" s="7"/>
      <c r="Q5" s="4" t="s">
        <v>57</v>
      </c>
      <c r="R5" s="4" t="s">
        <v>71</v>
      </c>
      <c r="S5" s="4"/>
    </row>
    <row r="6" spans="1:19" ht="28">
      <c r="A6" s="4" t="s">
        <v>72</v>
      </c>
      <c r="B6" s="4" t="s">
        <v>73</v>
      </c>
      <c r="C6" s="4" t="s">
        <v>6</v>
      </c>
      <c r="D6" s="4" t="s">
        <v>7</v>
      </c>
      <c r="E6" s="4" t="s">
        <v>25</v>
      </c>
      <c r="F6" s="4" t="s">
        <v>9</v>
      </c>
      <c r="G6" s="4" t="s">
        <v>10</v>
      </c>
      <c r="H6" s="4" t="s">
        <v>50</v>
      </c>
      <c r="I6" s="4" t="s">
        <v>51</v>
      </c>
      <c r="J6" s="4" t="s">
        <v>52</v>
      </c>
      <c r="K6" s="4" t="s">
        <v>53</v>
      </c>
      <c r="L6" s="4" t="s">
        <v>54</v>
      </c>
      <c r="M6" s="4" t="s">
        <v>24</v>
      </c>
      <c r="N6" s="4" t="s">
        <v>74</v>
      </c>
      <c r="O6" s="4" t="s">
        <v>56</v>
      </c>
      <c r="P6" s="7"/>
      <c r="Q6" s="4" t="s">
        <v>57</v>
      </c>
      <c r="R6" s="4" t="s">
        <v>71</v>
      </c>
      <c r="S6" s="4"/>
    </row>
    <row r="7" spans="1:19" ht="42">
      <c r="A7" s="4" t="s">
        <v>75</v>
      </c>
      <c r="B7" s="4"/>
      <c r="C7" s="4" t="s">
        <v>6</v>
      </c>
      <c r="D7" s="4" t="s">
        <v>13</v>
      </c>
      <c r="E7" s="4" t="s">
        <v>14</v>
      </c>
      <c r="F7" s="4" t="s">
        <v>20</v>
      </c>
      <c r="G7" s="4" t="s">
        <v>16</v>
      </c>
      <c r="H7" s="4" t="s">
        <v>76</v>
      </c>
      <c r="I7" s="4" t="s">
        <v>51</v>
      </c>
      <c r="J7" s="4" t="s">
        <v>52</v>
      </c>
      <c r="K7" s="4" t="s">
        <v>53</v>
      </c>
      <c r="L7" s="4" t="s">
        <v>54</v>
      </c>
      <c r="M7" s="4" t="s">
        <v>24</v>
      </c>
      <c r="N7" s="4" t="s">
        <v>77</v>
      </c>
      <c r="O7" s="4" t="s">
        <v>56</v>
      </c>
      <c r="P7" s="7"/>
      <c r="Q7" s="4" t="s">
        <v>57</v>
      </c>
      <c r="R7" s="4" t="s">
        <v>78</v>
      </c>
      <c r="S7" s="4"/>
    </row>
    <row r="8" spans="1:19" ht="28">
      <c r="A8" s="4" t="s">
        <v>79</v>
      </c>
      <c r="B8" s="4"/>
      <c r="C8" s="4" t="s">
        <v>12</v>
      </c>
      <c r="D8" s="4" t="s">
        <v>19</v>
      </c>
      <c r="E8" s="4" t="s">
        <v>14</v>
      </c>
      <c r="F8" s="4" t="s">
        <v>65</v>
      </c>
      <c r="G8" s="4" t="s">
        <v>10</v>
      </c>
      <c r="H8" s="4" t="s">
        <v>50</v>
      </c>
      <c r="I8" s="4" t="s">
        <v>51</v>
      </c>
      <c r="J8" s="4" t="s">
        <v>52</v>
      </c>
      <c r="K8" s="4" t="s">
        <v>53</v>
      </c>
      <c r="L8" s="4" t="s">
        <v>54</v>
      </c>
      <c r="M8" s="4" t="s">
        <v>24</v>
      </c>
      <c r="N8" s="4" t="s">
        <v>80</v>
      </c>
      <c r="O8" s="4" t="s">
        <v>56</v>
      </c>
      <c r="P8" s="7"/>
      <c r="Q8" s="4" t="s">
        <v>57</v>
      </c>
      <c r="R8" s="4" t="s">
        <v>81</v>
      </c>
      <c r="S8" s="4"/>
    </row>
    <row r="9" spans="1:19">
      <c r="A9" s="4" t="s">
        <v>82</v>
      </c>
      <c r="B9" s="4"/>
      <c r="C9" s="4" t="s">
        <v>31</v>
      </c>
      <c r="D9" s="4" t="s">
        <v>27</v>
      </c>
      <c r="E9" s="4" t="s">
        <v>14</v>
      </c>
      <c r="F9" s="4" t="s">
        <v>65</v>
      </c>
      <c r="G9" s="4" t="s">
        <v>10</v>
      </c>
      <c r="H9" s="4" t="s">
        <v>50</v>
      </c>
      <c r="I9" s="4" t="s">
        <v>51</v>
      </c>
      <c r="J9" s="4" t="s">
        <v>52</v>
      </c>
      <c r="K9" s="4" t="s">
        <v>53</v>
      </c>
      <c r="L9" s="4" t="s">
        <v>54</v>
      </c>
      <c r="M9" s="4" t="s">
        <v>24</v>
      </c>
      <c r="N9" s="4" t="s">
        <v>83</v>
      </c>
      <c r="O9" s="4" t="s">
        <v>56</v>
      </c>
      <c r="P9" s="7"/>
      <c r="Q9" s="4" t="s">
        <v>57</v>
      </c>
      <c r="R9" s="4" t="s">
        <v>84</v>
      </c>
      <c r="S9" s="4"/>
    </row>
    <row r="10" spans="1:19">
      <c r="A10" s="4" t="s">
        <v>85</v>
      </c>
      <c r="B10" s="4"/>
      <c r="C10" s="4" t="s">
        <v>26</v>
      </c>
      <c r="D10" s="4" t="s">
        <v>27</v>
      </c>
      <c r="E10" s="4"/>
      <c r="F10" s="4"/>
      <c r="G10" s="4" t="s">
        <v>16</v>
      </c>
      <c r="H10" s="4" t="s">
        <v>76</v>
      </c>
      <c r="I10" s="4" t="s">
        <v>51</v>
      </c>
      <c r="J10" s="4" t="s">
        <v>52</v>
      </c>
      <c r="K10" s="4" t="s">
        <v>53</v>
      </c>
      <c r="L10" s="4" t="s">
        <v>54</v>
      </c>
      <c r="M10" s="4" t="s">
        <v>24</v>
      </c>
      <c r="N10" s="4"/>
      <c r="O10" s="4" t="s">
        <v>56</v>
      </c>
      <c r="P10" s="7"/>
      <c r="Q10" s="4" t="s">
        <v>57</v>
      </c>
      <c r="R10" s="4" t="s">
        <v>86</v>
      </c>
      <c r="S10" s="4"/>
    </row>
    <row r="11" spans="1:19" ht="28">
      <c r="A11" s="4" t="s">
        <v>87</v>
      </c>
      <c r="B11" s="4"/>
      <c r="C11" s="4" t="s">
        <v>32</v>
      </c>
      <c r="D11" s="4" t="s">
        <v>27</v>
      </c>
      <c r="E11" s="4" t="s">
        <v>25</v>
      </c>
      <c r="F11" s="4" t="s">
        <v>9</v>
      </c>
      <c r="G11" s="4" t="s">
        <v>10</v>
      </c>
      <c r="H11" s="4" t="s">
        <v>50</v>
      </c>
      <c r="I11" s="4" t="s">
        <v>51</v>
      </c>
      <c r="J11" s="4" t="s">
        <v>52</v>
      </c>
      <c r="K11" s="4" t="s">
        <v>53</v>
      </c>
      <c r="L11" s="4" t="s">
        <v>54</v>
      </c>
      <c r="M11" s="4" t="s">
        <v>24</v>
      </c>
      <c r="N11" s="4" t="s">
        <v>88</v>
      </c>
      <c r="O11" s="4" t="s">
        <v>89</v>
      </c>
      <c r="P11" s="7">
        <v>46262</v>
      </c>
      <c r="Q11" s="4" t="s">
        <v>57</v>
      </c>
      <c r="R11" s="4" t="s">
        <v>90</v>
      </c>
      <c r="S11" s="4"/>
    </row>
    <row r="12" spans="1:19" ht="28">
      <c r="A12" s="4" t="s">
        <v>91</v>
      </c>
      <c r="B12" s="4"/>
      <c r="C12" s="4" t="s">
        <v>12</v>
      </c>
      <c r="D12" s="4" t="s">
        <v>13</v>
      </c>
      <c r="E12" s="4" t="s">
        <v>25</v>
      </c>
      <c r="F12" s="4" t="s">
        <v>9</v>
      </c>
      <c r="G12" s="4" t="s">
        <v>10</v>
      </c>
      <c r="H12" s="4" t="s">
        <v>50</v>
      </c>
      <c r="I12" s="4" t="s">
        <v>51</v>
      </c>
      <c r="J12" s="4" t="s">
        <v>52</v>
      </c>
      <c r="K12" s="4" t="s">
        <v>53</v>
      </c>
      <c r="L12" s="4" t="s">
        <v>54</v>
      </c>
      <c r="M12" s="4" t="s">
        <v>24</v>
      </c>
      <c r="N12" s="4" t="s">
        <v>92</v>
      </c>
      <c r="O12" s="4" t="s">
        <v>89</v>
      </c>
      <c r="P12" s="7">
        <v>46262</v>
      </c>
      <c r="Q12" s="4" t="s">
        <v>57</v>
      </c>
      <c r="R12" s="4" t="s">
        <v>67</v>
      </c>
      <c r="S12" s="4"/>
    </row>
    <row r="13" spans="1:19" ht="28">
      <c r="A13" s="4" t="s">
        <v>93</v>
      </c>
      <c r="B13" s="4"/>
      <c r="C13" s="4" t="s">
        <v>6</v>
      </c>
      <c r="D13" s="4" t="s">
        <v>7</v>
      </c>
      <c r="E13" s="4" t="s">
        <v>25</v>
      </c>
      <c r="F13" s="4" t="s">
        <v>9</v>
      </c>
      <c r="G13" s="4" t="s">
        <v>10</v>
      </c>
      <c r="H13" s="4" t="s">
        <v>50</v>
      </c>
      <c r="I13" s="4" t="s">
        <v>51</v>
      </c>
      <c r="J13" s="4" t="s">
        <v>52</v>
      </c>
      <c r="K13" s="4" t="s">
        <v>53</v>
      </c>
      <c r="L13" s="4" t="s">
        <v>54</v>
      </c>
      <c r="M13" s="4" t="s">
        <v>24</v>
      </c>
      <c r="N13" s="4" t="s">
        <v>94</v>
      </c>
      <c r="O13" s="4" t="s">
        <v>89</v>
      </c>
      <c r="P13" s="7">
        <v>46262</v>
      </c>
      <c r="Q13" s="4" t="s">
        <v>57</v>
      </c>
      <c r="R13" s="4" t="s">
        <v>95</v>
      </c>
      <c r="S13" s="4"/>
    </row>
    <row r="14" spans="1:19" ht="28">
      <c r="A14" s="4" t="s">
        <v>96</v>
      </c>
      <c r="B14" s="4"/>
      <c r="C14" s="4" t="s">
        <v>6</v>
      </c>
      <c r="D14" s="4" t="s">
        <v>7</v>
      </c>
      <c r="E14" s="4" t="s">
        <v>25</v>
      </c>
      <c r="F14" s="4" t="s">
        <v>9</v>
      </c>
      <c r="G14" s="4" t="s">
        <v>10</v>
      </c>
      <c r="H14" s="4" t="s">
        <v>50</v>
      </c>
      <c r="I14" s="4" t="s">
        <v>51</v>
      </c>
      <c r="J14" s="4" t="s">
        <v>52</v>
      </c>
      <c r="K14" s="4" t="s">
        <v>53</v>
      </c>
      <c r="L14" s="4" t="s">
        <v>54</v>
      </c>
      <c r="M14" s="4" t="s">
        <v>24</v>
      </c>
      <c r="N14" s="4" t="s">
        <v>88</v>
      </c>
      <c r="O14" s="4" t="s">
        <v>89</v>
      </c>
      <c r="P14" s="7">
        <v>46262</v>
      </c>
      <c r="Q14" s="4" t="s">
        <v>57</v>
      </c>
      <c r="R14" s="4" t="s">
        <v>97</v>
      </c>
      <c r="S14" s="4"/>
    </row>
    <row r="15" spans="1:19" ht="28">
      <c r="A15" s="4" t="s">
        <v>98</v>
      </c>
      <c r="B15" s="4" t="s">
        <v>99</v>
      </c>
      <c r="C15" s="4" t="s">
        <v>6</v>
      </c>
      <c r="D15" s="4" t="s">
        <v>7</v>
      </c>
      <c r="E15" s="4" t="s">
        <v>14</v>
      </c>
      <c r="F15" s="4" t="s">
        <v>20</v>
      </c>
      <c r="G15" s="4" t="s">
        <v>10</v>
      </c>
      <c r="H15" s="4" t="s">
        <v>50</v>
      </c>
      <c r="I15" s="4" t="s">
        <v>51</v>
      </c>
      <c r="J15" s="4" t="s">
        <v>52</v>
      </c>
      <c r="K15" s="4" t="s">
        <v>53</v>
      </c>
      <c r="L15" s="4" t="s">
        <v>54</v>
      </c>
      <c r="M15" s="4" t="s">
        <v>24</v>
      </c>
      <c r="N15" s="4" t="s">
        <v>100</v>
      </c>
      <c r="O15" s="4" t="s">
        <v>89</v>
      </c>
      <c r="P15" s="7">
        <v>46262</v>
      </c>
      <c r="Q15" s="4" t="s">
        <v>57</v>
      </c>
      <c r="R15" s="4" t="s">
        <v>101</v>
      </c>
      <c r="S15" s="4"/>
    </row>
    <row r="16" spans="1:19" ht="28">
      <c r="A16" s="4" t="s">
        <v>102</v>
      </c>
      <c r="B16" s="4"/>
      <c r="C16" s="4" t="s">
        <v>12</v>
      </c>
      <c r="D16" s="4" t="s">
        <v>13</v>
      </c>
      <c r="E16" s="4" t="s">
        <v>14</v>
      </c>
      <c r="F16" s="4" t="s">
        <v>20</v>
      </c>
      <c r="G16" s="4" t="s">
        <v>10</v>
      </c>
      <c r="H16" s="4" t="s">
        <v>50</v>
      </c>
      <c r="I16" s="4" t="s">
        <v>51</v>
      </c>
      <c r="J16" s="4" t="s">
        <v>52</v>
      </c>
      <c r="K16" s="4" t="s">
        <v>53</v>
      </c>
      <c r="L16" s="4" t="s">
        <v>54</v>
      </c>
      <c r="M16" s="4" t="s">
        <v>24</v>
      </c>
      <c r="N16" s="4" t="s">
        <v>103</v>
      </c>
      <c r="O16" s="4" t="s">
        <v>89</v>
      </c>
      <c r="P16" s="7">
        <v>46262</v>
      </c>
      <c r="Q16" s="4" t="s">
        <v>57</v>
      </c>
      <c r="R16" s="4" t="s">
        <v>67</v>
      </c>
      <c r="S16" s="4"/>
    </row>
    <row r="17" spans="1:1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7"/>
      <c r="Q17" s="4"/>
      <c r="R17" s="4"/>
      <c r="S17" s="4"/>
    </row>
    <row r="18" spans="1:1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7"/>
      <c r="Q18" s="4"/>
      <c r="R18" s="4"/>
      <c r="S18" s="4"/>
    </row>
    <row r="19" spans="1: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7"/>
      <c r="Q19" s="4"/>
      <c r="R19" s="4"/>
      <c r="S19" s="4"/>
    </row>
    <row r="20" spans="1:1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7"/>
      <c r="Q20" s="4"/>
      <c r="R20" s="4"/>
      <c r="S20" s="4"/>
    </row>
    <row r="21" spans="1:1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7"/>
      <c r="Q21" s="4"/>
      <c r="R21" s="4"/>
      <c r="S21" s="4"/>
    </row>
    <row r="22" spans="1:19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7"/>
      <c r="Q22" s="4"/>
      <c r="R22" s="4"/>
      <c r="S22" s="4"/>
    </row>
    <row r="23" spans="1:19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7"/>
      <c r="Q23" s="4"/>
      <c r="R23" s="4"/>
      <c r="S23" s="4"/>
    </row>
    <row r="24" spans="1:19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7"/>
      <c r="Q24" s="4"/>
      <c r="R24" s="4"/>
      <c r="S24" s="4"/>
    </row>
    <row r="25" spans="1:19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7"/>
      <c r="Q25" s="4"/>
      <c r="R25" s="4"/>
      <c r="S25" s="4"/>
    </row>
    <row r="26" spans="1:19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7"/>
      <c r="Q26" s="4"/>
      <c r="R26" s="4"/>
      <c r="S26" s="4"/>
    </row>
    <row r="27" spans="1:19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7"/>
      <c r="Q27" s="4"/>
      <c r="R27" s="4"/>
      <c r="S27" s="4"/>
    </row>
    <row r="28" spans="1:19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7"/>
      <c r="Q28" s="4"/>
      <c r="R28" s="4"/>
      <c r="S28" s="4"/>
    </row>
    <row r="29" spans="1:1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7"/>
      <c r="Q29" s="4"/>
      <c r="R29" s="4"/>
      <c r="S29" s="4"/>
    </row>
    <row r="30" spans="1:19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7"/>
      <c r="Q30" s="4"/>
      <c r="R30" s="4"/>
      <c r="S30" s="4"/>
    </row>
    <row r="31" spans="1:19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7"/>
      <c r="Q31" s="4"/>
      <c r="R31" s="4"/>
      <c r="S31" s="4"/>
    </row>
    <row r="32" spans="1:19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7"/>
      <c r="Q32" s="4"/>
      <c r="R32" s="4"/>
      <c r="S32" s="4"/>
    </row>
    <row r="33" spans="1:19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7"/>
      <c r="Q33" s="4"/>
      <c r="R33" s="4"/>
      <c r="S33" s="4"/>
    </row>
    <row r="34" spans="1:19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7"/>
      <c r="Q34" s="4"/>
      <c r="R34" s="4"/>
      <c r="S34" s="4"/>
    </row>
    <row r="35" spans="1:19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7"/>
      <c r="Q35" s="4"/>
      <c r="R35" s="4"/>
      <c r="S35" s="4"/>
    </row>
    <row r="36" spans="1:19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7"/>
      <c r="Q36" s="4"/>
      <c r="R36" s="4"/>
      <c r="S36" s="4"/>
    </row>
    <row r="37" spans="1:19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7"/>
      <c r="Q37" s="4"/>
      <c r="R37" s="4"/>
      <c r="S37" s="4"/>
    </row>
    <row r="38" spans="1:19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7"/>
      <c r="Q38" s="4"/>
      <c r="R38" s="4"/>
      <c r="S38" s="4"/>
    </row>
    <row r="39" spans="1:1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7"/>
      <c r="Q39" s="4"/>
      <c r="R39" s="4"/>
      <c r="S39" s="4"/>
    </row>
    <row r="40" spans="1:19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7"/>
      <c r="Q40" s="4"/>
      <c r="R40" s="4"/>
      <c r="S40" s="4"/>
    </row>
    <row r="41" spans="1:19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7"/>
      <c r="Q41" s="4"/>
      <c r="R41" s="4"/>
      <c r="S41" s="4"/>
    </row>
    <row r="42" spans="1:19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7"/>
      <c r="Q42" s="4"/>
      <c r="R42" s="4"/>
      <c r="S42" s="4"/>
    </row>
    <row r="43" spans="1:19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7"/>
      <c r="Q43" s="4"/>
      <c r="R43" s="4"/>
      <c r="S43" s="4"/>
    </row>
    <row r="44" spans="1:19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7"/>
      <c r="Q44" s="4"/>
      <c r="R44" s="4"/>
      <c r="S44" s="4"/>
    </row>
    <row r="45" spans="1:19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7"/>
      <c r="Q45" s="4"/>
      <c r="R45" s="4"/>
      <c r="S45" s="4"/>
    </row>
    <row r="46" spans="1:19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7"/>
      <c r="Q46" s="4"/>
      <c r="R46" s="4"/>
      <c r="S46" s="4"/>
    </row>
    <row r="47" spans="1:19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7"/>
      <c r="Q47" s="4"/>
      <c r="R47" s="4"/>
      <c r="S47" s="4"/>
    </row>
    <row r="48" spans="1:19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7"/>
      <c r="Q48" s="4"/>
      <c r="R48" s="4"/>
      <c r="S48" s="4"/>
    </row>
    <row r="49" spans="1:1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7"/>
      <c r="Q49" s="4"/>
      <c r="R49" s="4"/>
      <c r="S49" s="4"/>
    </row>
    <row r="50" spans="1:19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7"/>
      <c r="Q50" s="4"/>
      <c r="R50" s="4"/>
      <c r="S50" s="4"/>
    </row>
    <row r="51" spans="1:19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7"/>
      <c r="Q51" s="4"/>
      <c r="R51" s="4"/>
      <c r="S51" s="4"/>
    </row>
    <row r="52" spans="1:19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7"/>
      <c r="Q52" s="4"/>
      <c r="R52" s="4"/>
      <c r="S52" s="4"/>
    </row>
    <row r="53" spans="1:19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7"/>
      <c r="Q53" s="4"/>
      <c r="R53" s="4"/>
      <c r="S53" s="4"/>
    </row>
    <row r="54" spans="1:19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7"/>
      <c r="Q54" s="4"/>
      <c r="R54" s="4"/>
      <c r="S54" s="4"/>
    </row>
    <row r="55" spans="1:19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7"/>
      <c r="Q55" s="4"/>
      <c r="R55" s="4"/>
      <c r="S55" s="4"/>
    </row>
    <row r="56" spans="1:19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7"/>
      <c r="Q56" s="4"/>
      <c r="R56" s="4"/>
      <c r="S56" s="4"/>
    </row>
    <row r="57" spans="1:19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7"/>
      <c r="Q57" s="4"/>
      <c r="R57" s="4"/>
      <c r="S57" s="4"/>
    </row>
    <row r="58" spans="1:19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7"/>
      <c r="Q58" s="4"/>
      <c r="R58" s="4"/>
      <c r="S58" s="4"/>
    </row>
    <row r="59" spans="1:1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7"/>
      <c r="Q59" s="4"/>
      <c r="R59" s="4"/>
      <c r="S59" s="4"/>
    </row>
    <row r="60" spans="1:19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7"/>
      <c r="Q60" s="4"/>
      <c r="R60" s="4"/>
      <c r="S60" s="4"/>
    </row>
    <row r="61" spans="1:19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7"/>
      <c r="Q61" s="4"/>
      <c r="R61" s="4"/>
      <c r="S61" s="4"/>
    </row>
    <row r="62" spans="1:19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7"/>
      <c r="Q62" s="4"/>
      <c r="R62" s="4"/>
      <c r="S62" s="4"/>
    </row>
    <row r="63" spans="1:19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7"/>
      <c r="Q63" s="4"/>
      <c r="R63" s="4"/>
      <c r="S63" s="4"/>
    </row>
    <row r="64" spans="1:19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7"/>
      <c r="Q64" s="4"/>
      <c r="R64" s="4"/>
      <c r="S64" s="4"/>
    </row>
    <row r="65" spans="1:19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7"/>
      <c r="Q65" s="4"/>
      <c r="R65" s="4"/>
      <c r="S65" s="4"/>
    </row>
    <row r="66" spans="1:19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7"/>
      <c r="Q66" s="4"/>
      <c r="R66" s="4"/>
      <c r="S66" s="4"/>
    </row>
    <row r="67" spans="1:19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7"/>
      <c r="Q67" s="4"/>
      <c r="R67" s="4"/>
      <c r="S67" s="4"/>
    </row>
    <row r="68" spans="1:19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7"/>
      <c r="Q68" s="4"/>
      <c r="R68" s="4"/>
      <c r="S68" s="4"/>
    </row>
    <row r="69" spans="1:1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7"/>
      <c r="Q69" s="4"/>
      <c r="R69" s="4"/>
      <c r="S69" s="4"/>
    </row>
    <row r="70" spans="1:19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7"/>
      <c r="Q70" s="4"/>
      <c r="R70" s="4"/>
      <c r="S70" s="4"/>
    </row>
    <row r="71" spans="1:19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7"/>
      <c r="Q71" s="4"/>
      <c r="R71" s="4"/>
      <c r="S71" s="4"/>
    </row>
    <row r="72" spans="1:19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7"/>
      <c r="Q72" s="4"/>
      <c r="R72" s="4"/>
      <c r="S72" s="4"/>
    </row>
    <row r="73" spans="1:19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7"/>
      <c r="Q73" s="4"/>
      <c r="R73" s="4"/>
      <c r="S73" s="4"/>
    </row>
    <row r="74" spans="1:19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7"/>
      <c r="Q74" s="4"/>
      <c r="R74" s="4"/>
      <c r="S74" s="4"/>
    </row>
    <row r="75" spans="1:19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7"/>
      <c r="Q75" s="4"/>
      <c r="R75" s="4"/>
      <c r="S75" s="4"/>
    </row>
    <row r="76" spans="1:19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7"/>
      <c r="Q76" s="4"/>
      <c r="R76" s="4"/>
      <c r="S76" s="4"/>
    </row>
    <row r="77" spans="1:19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7"/>
      <c r="Q77" s="4"/>
      <c r="R77" s="4"/>
      <c r="S77" s="4"/>
    </row>
    <row r="78" spans="1:19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7"/>
      <c r="Q78" s="4"/>
      <c r="R78" s="4"/>
      <c r="S78" s="4"/>
    </row>
    <row r="79" spans="1:1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7"/>
      <c r="Q79" s="4"/>
      <c r="R79" s="4"/>
      <c r="S79" s="4"/>
    </row>
    <row r="80" spans="1:19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7"/>
      <c r="Q80" s="4"/>
      <c r="R80" s="4"/>
      <c r="S80" s="4"/>
    </row>
    <row r="81" spans="1:19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7"/>
      <c r="Q81" s="4"/>
      <c r="R81" s="4"/>
      <c r="S81" s="4"/>
    </row>
    <row r="82" spans="1:19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7"/>
      <c r="Q82" s="4"/>
      <c r="R82" s="4"/>
      <c r="S82" s="4"/>
    </row>
    <row r="83" spans="1:19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7"/>
      <c r="Q83" s="4"/>
      <c r="R83" s="4"/>
      <c r="S83" s="4"/>
    </row>
    <row r="84" spans="1:19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7"/>
      <c r="Q84" s="4"/>
      <c r="R84" s="4"/>
      <c r="S84" s="4"/>
    </row>
    <row r="85" spans="1:19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7"/>
      <c r="Q85" s="4"/>
      <c r="R85" s="4"/>
      <c r="S85" s="4"/>
    </row>
    <row r="86" spans="1:19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7"/>
      <c r="Q86" s="4"/>
      <c r="R86" s="4"/>
      <c r="S86" s="4"/>
    </row>
    <row r="87" spans="1:19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7"/>
      <c r="Q87" s="4"/>
      <c r="R87" s="4"/>
      <c r="S87" s="4"/>
    </row>
    <row r="88" spans="1:19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7"/>
      <c r="Q88" s="4"/>
      <c r="R88" s="4"/>
      <c r="S88" s="4"/>
    </row>
    <row r="89" spans="1:1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7"/>
      <c r="Q89" s="4"/>
      <c r="R89" s="4"/>
      <c r="S89" s="4"/>
    </row>
    <row r="90" spans="1:19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7"/>
      <c r="Q90" s="4"/>
      <c r="R90" s="4"/>
      <c r="S90" s="4"/>
    </row>
    <row r="91" spans="1:19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7"/>
      <c r="Q91" s="4"/>
      <c r="R91" s="4"/>
      <c r="S91" s="4"/>
    </row>
    <row r="92" spans="1:19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7"/>
      <c r="Q92" s="4"/>
      <c r="R92" s="4"/>
      <c r="S92" s="4"/>
    </row>
    <row r="93" spans="1:19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7"/>
      <c r="Q93" s="4"/>
      <c r="R93" s="4"/>
      <c r="S93" s="4"/>
    </row>
    <row r="94" spans="1:19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7"/>
      <c r="Q94" s="4"/>
      <c r="R94" s="4"/>
      <c r="S94" s="4"/>
    </row>
    <row r="95" spans="1:19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7"/>
      <c r="Q95" s="4"/>
      <c r="R95" s="4"/>
      <c r="S95" s="4"/>
    </row>
    <row r="96" spans="1:19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7"/>
      <c r="Q96" s="4"/>
      <c r="R96" s="4"/>
      <c r="S96" s="4"/>
    </row>
    <row r="97" spans="1:19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7"/>
      <c r="Q97" s="4"/>
      <c r="R97" s="4"/>
      <c r="S97" s="4"/>
    </row>
    <row r="98" spans="1:19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7"/>
      <c r="Q98" s="4"/>
      <c r="R98" s="4"/>
      <c r="S98" s="4"/>
    </row>
    <row r="99" spans="1:1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7"/>
      <c r="Q99" s="4"/>
      <c r="R99" s="4"/>
      <c r="S99" s="4"/>
    </row>
    <row r="100" spans="1:19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7"/>
      <c r="Q100" s="4"/>
      <c r="R100" s="4"/>
      <c r="S100" s="4"/>
    </row>
    <row r="101" spans="1:19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7"/>
      <c r="Q101" s="4"/>
      <c r="R101" s="4"/>
      <c r="S101" s="4"/>
    </row>
    <row r="102" spans="1:19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7"/>
      <c r="Q102" s="4"/>
      <c r="R102" s="4"/>
      <c r="S102" s="4"/>
    </row>
    <row r="103" spans="1:19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7"/>
      <c r="Q103" s="4"/>
      <c r="R103" s="4"/>
      <c r="S103" s="4"/>
    </row>
    <row r="104" spans="1:19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7"/>
      <c r="Q104" s="4"/>
      <c r="R104" s="4"/>
      <c r="S104" s="4"/>
    </row>
    <row r="105" spans="1:19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7"/>
      <c r="Q105" s="4"/>
      <c r="R105" s="4"/>
      <c r="S105" s="4"/>
    </row>
    <row r="106" spans="1:19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7"/>
      <c r="Q106" s="4"/>
      <c r="R106" s="4"/>
      <c r="S106" s="4"/>
    </row>
    <row r="107" spans="1:19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7"/>
      <c r="Q107" s="4"/>
      <c r="R107" s="4"/>
      <c r="S107" s="4"/>
    </row>
    <row r="108" spans="1:19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7"/>
      <c r="Q108" s="4"/>
      <c r="R108" s="4"/>
      <c r="S108" s="4"/>
    </row>
    <row r="109" spans="1:1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7"/>
      <c r="Q109" s="4"/>
      <c r="R109" s="4"/>
      <c r="S109" s="4"/>
    </row>
    <row r="110" spans="1:19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7"/>
      <c r="Q110" s="4"/>
      <c r="R110" s="4"/>
      <c r="S110" s="4"/>
    </row>
    <row r="111" spans="1:19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7"/>
      <c r="Q111" s="4"/>
      <c r="R111" s="4"/>
      <c r="S111" s="4"/>
    </row>
    <row r="112" spans="1:19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7"/>
      <c r="Q112" s="4"/>
      <c r="R112" s="4"/>
      <c r="S112" s="4"/>
    </row>
    <row r="113" spans="1:19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7"/>
      <c r="Q113" s="4"/>
      <c r="R113" s="4"/>
      <c r="S113" s="4"/>
    </row>
    <row r="114" spans="1:19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7"/>
      <c r="Q114" s="4"/>
      <c r="R114" s="4"/>
      <c r="S114" s="4"/>
    </row>
    <row r="115" spans="1:19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7"/>
      <c r="Q115" s="4"/>
      <c r="R115" s="4"/>
      <c r="S115" s="4"/>
    </row>
    <row r="116" spans="1:19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7"/>
      <c r="Q116" s="4"/>
      <c r="R116" s="4"/>
      <c r="S116" s="4"/>
    </row>
    <row r="117" spans="1:19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7"/>
      <c r="Q117" s="4"/>
      <c r="R117" s="4"/>
      <c r="S117" s="4"/>
    </row>
    <row r="118" spans="1:19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7"/>
      <c r="Q118" s="4"/>
      <c r="R118" s="4"/>
      <c r="S118" s="4"/>
    </row>
    <row r="119" spans="1: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7"/>
      <c r="Q119" s="4"/>
      <c r="R119" s="4"/>
      <c r="S119" s="4"/>
    </row>
    <row r="120" spans="1:19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7"/>
      <c r="Q120" s="4"/>
      <c r="R120" s="4"/>
      <c r="S120" s="4"/>
    </row>
    <row r="121" spans="1:19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7"/>
      <c r="Q121" s="4"/>
      <c r="R121" s="4"/>
      <c r="S121" s="4"/>
    </row>
    <row r="122" spans="1:19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7"/>
      <c r="Q122" s="4"/>
      <c r="R122" s="4"/>
      <c r="S122" s="4"/>
    </row>
    <row r="123" spans="1:19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7"/>
      <c r="Q123" s="4"/>
      <c r="R123" s="4"/>
      <c r="S123" s="4"/>
    </row>
    <row r="124" spans="1:19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7"/>
      <c r="Q124" s="4"/>
      <c r="R124" s="4"/>
      <c r="S124" s="4"/>
    </row>
    <row r="125" spans="1:19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7"/>
      <c r="Q125" s="4"/>
      <c r="R125" s="4"/>
      <c r="S125" s="4"/>
    </row>
    <row r="126" spans="1:19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7"/>
      <c r="Q126" s="4"/>
      <c r="R126" s="4"/>
      <c r="S126" s="4"/>
    </row>
    <row r="127" spans="1:19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7"/>
      <c r="Q127" s="4"/>
      <c r="R127" s="4"/>
      <c r="S127" s="4"/>
    </row>
    <row r="128" spans="1:19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7"/>
      <c r="Q128" s="4"/>
      <c r="R128" s="4"/>
      <c r="S128" s="4"/>
    </row>
    <row r="129" spans="1:1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7"/>
      <c r="Q129" s="4"/>
      <c r="R129" s="4"/>
      <c r="S129" s="4"/>
    </row>
    <row r="130" spans="1:19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7"/>
      <c r="Q130" s="4"/>
      <c r="R130" s="4"/>
      <c r="S130" s="4"/>
    </row>
    <row r="131" spans="1:19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7"/>
      <c r="Q131" s="4"/>
      <c r="R131" s="4"/>
      <c r="S131" s="4"/>
    </row>
    <row r="132" spans="1:19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7"/>
      <c r="Q132" s="4"/>
      <c r="R132" s="4"/>
      <c r="S132" s="4"/>
    </row>
    <row r="133" spans="1:19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7"/>
      <c r="Q133" s="4"/>
      <c r="R133" s="4"/>
      <c r="S133" s="4"/>
    </row>
    <row r="134" spans="1:19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7"/>
      <c r="Q134" s="4"/>
      <c r="R134" s="4"/>
      <c r="S134" s="4"/>
    </row>
    <row r="135" spans="1:19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7"/>
      <c r="Q135" s="4"/>
      <c r="R135" s="4"/>
      <c r="S135" s="4"/>
    </row>
    <row r="136" spans="1:19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7"/>
      <c r="Q136" s="4"/>
      <c r="R136" s="4"/>
      <c r="S136" s="4"/>
    </row>
    <row r="137" spans="1:19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7"/>
      <c r="Q137" s="4"/>
      <c r="R137" s="4"/>
      <c r="S137" s="4"/>
    </row>
    <row r="138" spans="1:19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7"/>
      <c r="Q138" s="4"/>
      <c r="R138" s="4"/>
      <c r="S138" s="4"/>
    </row>
    <row r="139" spans="1:1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7"/>
      <c r="Q139" s="4"/>
      <c r="R139" s="4"/>
      <c r="S139" s="4"/>
    </row>
    <row r="140" spans="1:19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7"/>
      <c r="Q140" s="4"/>
      <c r="R140" s="4"/>
      <c r="S140" s="4"/>
    </row>
    <row r="141" spans="1:19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7"/>
      <c r="Q141" s="4"/>
      <c r="R141" s="4"/>
      <c r="S141" s="4"/>
    </row>
    <row r="142" spans="1:19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7"/>
      <c r="Q142" s="4"/>
      <c r="R142" s="4"/>
      <c r="S142" s="4"/>
    </row>
    <row r="143" spans="1:19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7"/>
      <c r="Q143" s="4"/>
      <c r="R143" s="4"/>
      <c r="S143" s="4"/>
    </row>
    <row r="144" spans="1:19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7"/>
      <c r="Q144" s="4"/>
      <c r="R144" s="4"/>
      <c r="S144" s="4"/>
    </row>
    <row r="145" spans="1:19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7"/>
      <c r="Q145" s="4"/>
      <c r="R145" s="4"/>
      <c r="S145" s="4"/>
    </row>
    <row r="146" spans="1:19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7"/>
      <c r="Q146" s="4"/>
      <c r="R146" s="4"/>
      <c r="S146" s="4"/>
    </row>
    <row r="147" spans="1:19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7"/>
      <c r="Q147" s="4"/>
      <c r="R147" s="4"/>
      <c r="S147" s="4"/>
    </row>
    <row r="148" spans="1:19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7"/>
      <c r="Q148" s="4"/>
      <c r="R148" s="4"/>
      <c r="S148" s="4"/>
    </row>
    <row r="149" spans="1:1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7"/>
      <c r="Q149" s="4"/>
      <c r="R149" s="4"/>
      <c r="S149" s="4"/>
    </row>
    <row r="150" spans="1:19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7"/>
      <c r="Q150" s="4"/>
      <c r="R150" s="4"/>
      <c r="S150" s="4"/>
    </row>
    <row r="151" spans="1:19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7"/>
      <c r="Q151" s="4"/>
      <c r="R151" s="4"/>
      <c r="S151" s="4"/>
    </row>
    <row r="152" spans="1:19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7"/>
      <c r="Q152" s="4"/>
      <c r="R152" s="4"/>
      <c r="S152" s="4"/>
    </row>
    <row r="153" spans="1:19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7"/>
      <c r="Q153" s="4"/>
      <c r="R153" s="4"/>
      <c r="S153" s="4"/>
    </row>
    <row r="154" spans="1:19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7"/>
      <c r="Q154" s="4"/>
      <c r="R154" s="4"/>
      <c r="S154" s="4"/>
    </row>
    <row r="155" spans="1:19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7"/>
      <c r="Q155" s="4"/>
      <c r="R155" s="4"/>
      <c r="S155" s="4"/>
    </row>
    <row r="156" spans="1:19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7"/>
      <c r="Q156" s="4"/>
      <c r="R156" s="4"/>
      <c r="S156" s="4"/>
    </row>
    <row r="157" spans="1:19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7"/>
      <c r="Q157" s="4"/>
      <c r="R157" s="4"/>
      <c r="S157" s="4"/>
    </row>
    <row r="158" spans="1:19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7"/>
      <c r="Q158" s="4"/>
      <c r="R158" s="4"/>
      <c r="S158" s="4"/>
    </row>
    <row r="159" spans="1:1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7"/>
      <c r="Q159" s="4"/>
      <c r="R159" s="4"/>
      <c r="S159" s="4"/>
    </row>
    <row r="160" spans="1:19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7"/>
      <c r="Q160" s="4"/>
      <c r="R160" s="4"/>
      <c r="S160" s="4"/>
    </row>
    <row r="161" spans="1:19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7"/>
      <c r="Q161" s="4"/>
      <c r="R161" s="4"/>
      <c r="S161" s="4"/>
    </row>
    <row r="162" spans="1:19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7"/>
      <c r="Q162" s="4"/>
      <c r="R162" s="4"/>
      <c r="S162" s="4"/>
    </row>
    <row r="163" spans="1:19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7"/>
      <c r="Q163" s="4"/>
      <c r="R163" s="4"/>
      <c r="S163" s="4"/>
    </row>
    <row r="164" spans="1:19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7"/>
      <c r="Q164" s="4"/>
      <c r="R164" s="4"/>
      <c r="S164" s="4"/>
    </row>
    <row r="165" spans="1:19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7"/>
      <c r="Q165" s="4"/>
      <c r="R165" s="4"/>
      <c r="S165" s="4"/>
    </row>
    <row r="166" spans="1:19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7"/>
      <c r="Q166" s="4"/>
      <c r="R166" s="4"/>
      <c r="S166" s="4"/>
    </row>
    <row r="167" spans="1:19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7"/>
      <c r="Q167" s="4"/>
      <c r="R167" s="4"/>
      <c r="S167" s="4"/>
    </row>
    <row r="168" spans="1:19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7"/>
      <c r="Q168" s="4"/>
      <c r="R168" s="4"/>
      <c r="S168" s="4"/>
    </row>
    <row r="169" spans="1:1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7"/>
      <c r="Q169" s="4"/>
      <c r="R169" s="4"/>
      <c r="S169" s="4"/>
    </row>
    <row r="170" spans="1:19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7"/>
      <c r="Q170" s="4"/>
      <c r="R170" s="4"/>
      <c r="S170" s="4"/>
    </row>
    <row r="171" spans="1:19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7"/>
      <c r="Q171" s="4"/>
      <c r="R171" s="4"/>
      <c r="S171" s="4"/>
    </row>
    <row r="172" spans="1:19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7"/>
      <c r="Q172" s="4"/>
      <c r="R172" s="4"/>
      <c r="S172" s="4"/>
    </row>
    <row r="173" spans="1:19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7"/>
      <c r="Q173" s="4"/>
      <c r="R173" s="4"/>
      <c r="S173" s="4"/>
    </row>
    <row r="174" spans="1:19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7"/>
      <c r="Q174" s="4"/>
      <c r="R174" s="4"/>
      <c r="S174" s="4"/>
    </row>
    <row r="175" spans="1:19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7"/>
      <c r="Q175" s="4"/>
      <c r="R175" s="4"/>
      <c r="S175" s="4"/>
    </row>
    <row r="176" spans="1:19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7"/>
      <c r="Q176" s="4"/>
      <c r="R176" s="4"/>
      <c r="S176" s="4"/>
    </row>
    <row r="177" spans="1:19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7"/>
      <c r="Q177" s="4"/>
      <c r="R177" s="4"/>
      <c r="S177" s="4"/>
    </row>
    <row r="178" spans="1:19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7"/>
      <c r="Q178" s="4"/>
      <c r="R178" s="4"/>
      <c r="S178" s="4"/>
    </row>
    <row r="179" spans="1:1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7"/>
      <c r="Q179" s="4"/>
      <c r="R179" s="4"/>
      <c r="S179" s="4"/>
    </row>
    <row r="180" spans="1:19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7"/>
      <c r="Q180" s="4"/>
      <c r="R180" s="4"/>
      <c r="S180" s="4"/>
    </row>
    <row r="181" spans="1:19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7"/>
      <c r="Q181" s="4"/>
      <c r="R181" s="4"/>
      <c r="S181" s="4"/>
    </row>
    <row r="182" spans="1:19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7"/>
      <c r="Q182" s="4"/>
      <c r="R182" s="4"/>
      <c r="S182" s="4"/>
    </row>
    <row r="183" spans="1:19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7"/>
      <c r="Q183" s="4"/>
      <c r="R183" s="4"/>
      <c r="S183" s="4"/>
    </row>
    <row r="184" spans="1:19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7"/>
      <c r="Q184" s="4"/>
      <c r="R184" s="4"/>
      <c r="S184" s="4"/>
    </row>
    <row r="185" spans="1:19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7"/>
      <c r="Q185" s="4"/>
      <c r="R185" s="4"/>
      <c r="S185" s="4"/>
    </row>
    <row r="186" spans="1:19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7"/>
      <c r="Q186" s="4"/>
      <c r="R186" s="4"/>
      <c r="S186" s="4"/>
    </row>
    <row r="187" spans="1:19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7"/>
      <c r="Q187" s="4"/>
      <c r="R187" s="4"/>
      <c r="S187" s="4"/>
    </row>
    <row r="188" spans="1:19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7"/>
      <c r="Q188" s="4"/>
      <c r="R188" s="4"/>
      <c r="S188" s="4"/>
    </row>
    <row r="189" spans="1:1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7"/>
      <c r="Q189" s="4"/>
      <c r="R189" s="4"/>
      <c r="S189" s="4"/>
    </row>
    <row r="190" spans="1:19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7"/>
      <c r="Q190" s="4"/>
      <c r="R190" s="4"/>
      <c r="S190" s="4"/>
    </row>
    <row r="191" spans="1:19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7"/>
      <c r="Q191" s="4"/>
      <c r="R191" s="4"/>
      <c r="S191" s="4"/>
    </row>
    <row r="192" spans="1:19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7"/>
      <c r="Q192" s="4"/>
      <c r="R192" s="4"/>
      <c r="S192" s="4"/>
    </row>
    <row r="193" spans="1:19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7"/>
      <c r="Q193" s="4"/>
      <c r="R193" s="4"/>
      <c r="S193" s="4"/>
    </row>
    <row r="194" spans="1:19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7"/>
      <c r="Q194" s="4"/>
      <c r="R194" s="4"/>
      <c r="S194" s="4"/>
    </row>
    <row r="195" spans="1:19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7"/>
      <c r="Q195" s="4"/>
      <c r="R195" s="4"/>
      <c r="S195" s="4"/>
    </row>
    <row r="196" spans="1:19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7"/>
      <c r="Q196" s="4"/>
      <c r="R196" s="4"/>
      <c r="S196" s="4"/>
    </row>
    <row r="197" spans="1:19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7"/>
      <c r="Q197" s="4"/>
      <c r="R197" s="4"/>
      <c r="S197" s="4"/>
    </row>
    <row r="198" spans="1:19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7"/>
      <c r="Q198" s="4"/>
      <c r="R198" s="4"/>
      <c r="S198" s="4"/>
    </row>
    <row r="199" spans="1:1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7"/>
      <c r="Q199" s="4"/>
      <c r="R199" s="4"/>
      <c r="S199" s="4"/>
    </row>
    <row r="200" spans="1:19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7"/>
      <c r="Q200" s="4"/>
      <c r="R200" s="4"/>
      <c r="S200" s="4"/>
    </row>
    <row r="201" spans="1:19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7"/>
      <c r="Q201" s="4"/>
      <c r="R201" s="4"/>
      <c r="S201" s="4"/>
    </row>
    <row r="202" spans="1:19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7"/>
      <c r="Q202" s="4"/>
      <c r="R202" s="4"/>
      <c r="S202" s="4"/>
    </row>
    <row r="203" spans="1:19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7"/>
      <c r="Q203" s="4"/>
      <c r="R203" s="4"/>
      <c r="S203" s="4"/>
    </row>
    <row r="204" spans="1:19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7"/>
      <c r="Q204" s="4"/>
      <c r="R204" s="4"/>
      <c r="S204" s="4"/>
    </row>
    <row r="205" spans="1:19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7"/>
      <c r="Q205" s="4"/>
      <c r="R205" s="4"/>
      <c r="S205" s="4"/>
    </row>
    <row r="206" spans="1:19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7"/>
      <c r="Q206" s="4"/>
      <c r="R206" s="4"/>
      <c r="S206" s="4"/>
    </row>
    <row r="207" spans="1:19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7"/>
      <c r="Q207" s="4"/>
      <c r="R207" s="4"/>
      <c r="S207" s="4"/>
    </row>
    <row r="208" spans="1:19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7"/>
      <c r="Q208" s="4"/>
      <c r="R208" s="4"/>
      <c r="S208" s="4"/>
    </row>
    <row r="209" spans="1:1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7"/>
      <c r="Q209" s="4"/>
      <c r="R209" s="4"/>
      <c r="S209" s="4"/>
    </row>
    <row r="210" spans="1:19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7"/>
      <c r="Q210" s="4"/>
      <c r="R210" s="4"/>
      <c r="S210" s="4"/>
    </row>
    <row r="211" spans="1:19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7"/>
      <c r="Q211" s="4"/>
      <c r="R211" s="4"/>
      <c r="S211" s="4"/>
    </row>
    <row r="212" spans="1:19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7"/>
      <c r="Q212" s="4"/>
      <c r="R212" s="4"/>
      <c r="S212" s="4"/>
    </row>
    <row r="213" spans="1:19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7"/>
      <c r="Q213" s="4"/>
      <c r="R213" s="4"/>
      <c r="S213" s="4"/>
    </row>
    <row r="214" spans="1:19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7"/>
      <c r="Q214" s="4"/>
      <c r="R214" s="4"/>
      <c r="S214" s="4"/>
    </row>
    <row r="215" spans="1:19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7"/>
      <c r="Q215" s="4"/>
      <c r="R215" s="4"/>
      <c r="S215" s="4"/>
    </row>
    <row r="216" spans="1:19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7"/>
      <c r="Q216" s="4"/>
      <c r="R216" s="4"/>
      <c r="S216" s="4"/>
    </row>
    <row r="217" spans="1:19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7"/>
      <c r="Q217" s="4"/>
      <c r="R217" s="4"/>
      <c r="S217" s="4"/>
    </row>
    <row r="218" spans="1:19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7"/>
      <c r="Q218" s="4"/>
      <c r="R218" s="4"/>
      <c r="S218" s="4"/>
    </row>
    <row r="219" spans="1: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7"/>
      <c r="Q219" s="4"/>
      <c r="R219" s="4"/>
      <c r="S219" s="4"/>
    </row>
    <row r="220" spans="1:19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7"/>
      <c r="Q220" s="4"/>
      <c r="R220" s="4"/>
      <c r="S220" s="4"/>
    </row>
    <row r="221" spans="1:19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7"/>
      <c r="Q221" s="4"/>
      <c r="R221" s="4"/>
      <c r="S221" s="4"/>
    </row>
    <row r="222" spans="1:19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7"/>
      <c r="Q222" s="4"/>
      <c r="R222" s="4"/>
      <c r="S222" s="4"/>
    </row>
    <row r="223" spans="1:19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7"/>
      <c r="Q223" s="4"/>
      <c r="R223" s="4"/>
      <c r="S223" s="4"/>
    </row>
    <row r="224" spans="1:19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7"/>
      <c r="Q224" s="4"/>
      <c r="R224" s="4"/>
      <c r="S224" s="4"/>
    </row>
    <row r="225" spans="1:19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7"/>
      <c r="Q225" s="4"/>
      <c r="R225" s="4"/>
      <c r="S225" s="4"/>
    </row>
    <row r="226" spans="1:19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7"/>
      <c r="Q226" s="4"/>
      <c r="R226" s="4"/>
      <c r="S226" s="4"/>
    </row>
    <row r="227" spans="1:19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7"/>
      <c r="Q227" s="4"/>
      <c r="R227" s="4"/>
      <c r="S227" s="4"/>
    </row>
    <row r="228" spans="1:19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7"/>
      <c r="Q228" s="4"/>
      <c r="R228" s="4"/>
      <c r="S228" s="4"/>
    </row>
    <row r="229" spans="1:1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7"/>
      <c r="Q229" s="4"/>
      <c r="R229" s="4"/>
      <c r="S229" s="4"/>
    </row>
    <row r="230" spans="1:19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7"/>
      <c r="Q230" s="4"/>
      <c r="R230" s="4"/>
      <c r="S230" s="4"/>
    </row>
    <row r="231" spans="1:19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7"/>
      <c r="Q231" s="4"/>
      <c r="R231" s="4"/>
      <c r="S231" s="4"/>
    </row>
    <row r="232" spans="1:19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7"/>
      <c r="Q232" s="4"/>
      <c r="R232" s="4"/>
      <c r="S232" s="4"/>
    </row>
    <row r="233" spans="1:19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7"/>
      <c r="Q233" s="4"/>
      <c r="R233" s="4"/>
      <c r="S233" s="4"/>
    </row>
    <row r="234" spans="1:19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7"/>
      <c r="Q234" s="4"/>
      <c r="R234" s="4"/>
      <c r="S234" s="4"/>
    </row>
    <row r="235" spans="1:19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7"/>
      <c r="Q235" s="4"/>
      <c r="R235" s="4"/>
      <c r="S235" s="4"/>
    </row>
    <row r="236" spans="1:19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7"/>
      <c r="Q236" s="4"/>
      <c r="R236" s="4"/>
      <c r="S236" s="4"/>
    </row>
    <row r="237" spans="1:19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7"/>
      <c r="Q237" s="4"/>
      <c r="R237" s="4"/>
      <c r="S237" s="4"/>
    </row>
    <row r="238" spans="1:19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7"/>
      <c r="Q238" s="4"/>
      <c r="R238" s="4"/>
      <c r="S238" s="4"/>
    </row>
    <row r="239" spans="1:1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7"/>
      <c r="Q239" s="4"/>
      <c r="R239" s="4"/>
      <c r="S239" s="4"/>
    </row>
    <row r="240" spans="1:19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7"/>
      <c r="Q240" s="4"/>
      <c r="R240" s="4"/>
      <c r="S240" s="4"/>
    </row>
    <row r="241" spans="1:19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7"/>
      <c r="Q241" s="4"/>
      <c r="R241" s="4"/>
      <c r="S241" s="4"/>
    </row>
    <row r="242" spans="1:19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7"/>
      <c r="Q242" s="4"/>
      <c r="R242" s="4"/>
      <c r="S242" s="4"/>
    </row>
    <row r="243" spans="1:19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7"/>
      <c r="Q243" s="4"/>
      <c r="R243" s="4"/>
      <c r="S243" s="4"/>
    </row>
    <row r="244" spans="1:19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7"/>
      <c r="Q244" s="4"/>
      <c r="R244" s="4"/>
      <c r="S244" s="4"/>
    </row>
    <row r="245" spans="1:19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7"/>
      <c r="Q245" s="4"/>
      <c r="R245" s="4"/>
      <c r="S245" s="4"/>
    </row>
    <row r="246" spans="1:19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7"/>
      <c r="Q246" s="4"/>
      <c r="R246" s="4"/>
      <c r="S246" s="4"/>
    </row>
    <row r="247" spans="1:19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7"/>
      <c r="Q247" s="4"/>
      <c r="R247" s="4"/>
      <c r="S247" s="4"/>
    </row>
    <row r="248" spans="1:19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7"/>
      <c r="Q248" s="4"/>
      <c r="R248" s="4"/>
      <c r="S248" s="4"/>
    </row>
    <row r="249" spans="1:1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7"/>
      <c r="Q249" s="4"/>
      <c r="R249" s="4"/>
      <c r="S249" s="4"/>
    </row>
    <row r="250" spans="1:19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7"/>
      <c r="Q250" s="4"/>
      <c r="R250" s="4"/>
      <c r="S250" s="4"/>
    </row>
    <row r="251" spans="1:19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7"/>
      <c r="Q251" s="4"/>
      <c r="R251" s="4"/>
      <c r="S251" s="4"/>
    </row>
    <row r="252" spans="1:19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7"/>
      <c r="Q252" s="4"/>
      <c r="R252" s="4"/>
      <c r="S252" s="4"/>
    </row>
    <row r="253" spans="1:19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7"/>
      <c r="Q253" s="4"/>
      <c r="R253" s="4"/>
      <c r="S253" s="4"/>
    </row>
    <row r="254" spans="1:19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7"/>
      <c r="Q254" s="4"/>
      <c r="R254" s="4"/>
      <c r="S254" s="4"/>
    </row>
    <row r="255" spans="1:19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7"/>
      <c r="Q255" s="4"/>
      <c r="R255" s="4"/>
      <c r="S255" s="4"/>
    </row>
    <row r="256" spans="1:19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7"/>
      <c r="Q256" s="4"/>
      <c r="R256" s="4"/>
      <c r="S256" s="4"/>
    </row>
    <row r="257" spans="1:19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7"/>
      <c r="Q257" s="4"/>
      <c r="R257" s="4"/>
      <c r="S257" s="4"/>
    </row>
    <row r="258" spans="1:19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7"/>
      <c r="Q258" s="4"/>
      <c r="R258" s="4"/>
      <c r="S258" s="4"/>
    </row>
    <row r="259" spans="1:1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7"/>
      <c r="Q259" s="4"/>
      <c r="R259" s="4"/>
      <c r="S259" s="4"/>
    </row>
    <row r="260" spans="1:19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7"/>
      <c r="Q260" s="4"/>
      <c r="R260" s="4"/>
      <c r="S260" s="4"/>
    </row>
    <row r="261" spans="1:19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7"/>
      <c r="Q261" s="4"/>
      <c r="R261" s="4"/>
      <c r="S261" s="4"/>
    </row>
    <row r="262" spans="1:19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7"/>
      <c r="Q262" s="4"/>
      <c r="R262" s="4"/>
      <c r="S262" s="4"/>
    </row>
    <row r="263" spans="1:19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7"/>
      <c r="Q263" s="4"/>
      <c r="R263" s="4"/>
      <c r="S263" s="4"/>
    </row>
    <row r="264" spans="1:19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7"/>
      <c r="Q264" s="4"/>
      <c r="R264" s="4"/>
      <c r="S264" s="4"/>
    </row>
    <row r="265" spans="1:19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7"/>
      <c r="Q265" s="4"/>
      <c r="R265" s="4"/>
      <c r="S265" s="4"/>
    </row>
    <row r="266" spans="1:19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7"/>
      <c r="Q266" s="4"/>
      <c r="R266" s="4"/>
      <c r="S266" s="4"/>
    </row>
    <row r="267" spans="1:19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7"/>
      <c r="Q267" s="4"/>
      <c r="R267" s="4"/>
      <c r="S267" s="4"/>
    </row>
    <row r="268" spans="1:19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7"/>
      <c r="Q268" s="4"/>
      <c r="R268" s="4"/>
      <c r="S268" s="4"/>
    </row>
    <row r="269" spans="1:1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7"/>
      <c r="Q269" s="4"/>
      <c r="R269" s="4"/>
      <c r="S269" s="4"/>
    </row>
    <row r="270" spans="1:19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7"/>
      <c r="Q270" s="4"/>
      <c r="R270" s="4"/>
      <c r="S270" s="4"/>
    </row>
    <row r="271" spans="1:19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7"/>
      <c r="Q271" s="4"/>
      <c r="R271" s="4"/>
      <c r="S271" s="4"/>
    </row>
    <row r="272" spans="1:19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7"/>
      <c r="Q272" s="4"/>
      <c r="R272" s="4"/>
      <c r="S272" s="4"/>
    </row>
    <row r="273" spans="1:19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7"/>
      <c r="Q273" s="4"/>
      <c r="R273" s="4"/>
      <c r="S273" s="4"/>
    </row>
    <row r="274" spans="1:19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7"/>
      <c r="Q274" s="4"/>
      <c r="R274" s="4"/>
      <c r="S274" s="4"/>
    </row>
    <row r="275" spans="1:19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7"/>
      <c r="Q275" s="4"/>
      <c r="R275" s="4"/>
      <c r="S275" s="4"/>
    </row>
    <row r="276" spans="1:19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7"/>
      <c r="Q276" s="4"/>
      <c r="R276" s="4"/>
      <c r="S276" s="4"/>
    </row>
    <row r="277" spans="1:19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7"/>
      <c r="Q277" s="4"/>
      <c r="R277" s="4"/>
      <c r="S277" s="4"/>
    </row>
    <row r="278" spans="1:19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7"/>
      <c r="Q278" s="4"/>
      <c r="R278" s="4"/>
      <c r="S278" s="4"/>
    </row>
    <row r="279" spans="1:1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7"/>
      <c r="Q279" s="4"/>
      <c r="R279" s="4"/>
      <c r="S279" s="4"/>
    </row>
    <row r="280" spans="1:19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7"/>
      <c r="Q280" s="4"/>
      <c r="R280" s="4"/>
      <c r="S280" s="4"/>
    </row>
    <row r="281" spans="1:19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7"/>
      <c r="Q281" s="4"/>
      <c r="R281" s="4"/>
      <c r="S281" s="4"/>
    </row>
    <row r="282" spans="1:19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7"/>
      <c r="Q282" s="4"/>
      <c r="R282" s="4"/>
      <c r="S282" s="4"/>
    </row>
    <row r="283" spans="1:19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7"/>
      <c r="Q283" s="4"/>
      <c r="R283" s="4"/>
      <c r="S283" s="4"/>
    </row>
    <row r="284" spans="1:19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7"/>
      <c r="Q284" s="4"/>
      <c r="R284" s="4"/>
      <c r="S284" s="4"/>
    </row>
    <row r="285" spans="1:19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7"/>
      <c r="Q285" s="4"/>
      <c r="R285" s="4"/>
      <c r="S285" s="4"/>
    </row>
    <row r="286" spans="1:19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7"/>
      <c r="Q286" s="4"/>
      <c r="R286" s="4"/>
      <c r="S286" s="4"/>
    </row>
    <row r="287" spans="1:19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7"/>
      <c r="Q287" s="4"/>
      <c r="R287" s="4"/>
      <c r="S287" s="4"/>
    </row>
    <row r="288" spans="1:19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7"/>
      <c r="Q288" s="4"/>
      <c r="R288" s="4"/>
      <c r="S288" s="4"/>
    </row>
    <row r="289" spans="1:1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7"/>
      <c r="Q289" s="4"/>
      <c r="R289" s="4"/>
      <c r="S289" s="4"/>
    </row>
    <row r="290" spans="1:19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7"/>
      <c r="Q290" s="4"/>
      <c r="R290" s="4"/>
      <c r="S290" s="4"/>
    </row>
    <row r="291" spans="1:19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7"/>
      <c r="Q291" s="4"/>
      <c r="R291" s="4"/>
      <c r="S291" s="4"/>
    </row>
    <row r="292" spans="1:19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7"/>
      <c r="Q292" s="4"/>
      <c r="R292" s="4"/>
      <c r="S292" s="4"/>
    </row>
    <row r="293" spans="1:19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7"/>
      <c r="Q293" s="4"/>
      <c r="R293" s="4"/>
      <c r="S293" s="4"/>
    </row>
    <row r="294" spans="1:19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7"/>
      <c r="Q294" s="4"/>
      <c r="R294" s="4"/>
      <c r="S294" s="4"/>
    </row>
    <row r="295" spans="1:19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7"/>
      <c r="Q295" s="4"/>
      <c r="R295" s="4"/>
      <c r="S295" s="4"/>
    </row>
    <row r="296" spans="1:19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7"/>
      <c r="Q296" s="4"/>
      <c r="R296" s="4"/>
      <c r="S296" s="4"/>
    </row>
    <row r="297" spans="1:19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7"/>
      <c r="Q297" s="4"/>
      <c r="R297" s="4"/>
      <c r="S297" s="4"/>
    </row>
    <row r="298" spans="1:19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7"/>
      <c r="Q298" s="4"/>
      <c r="R298" s="4"/>
      <c r="S298" s="4"/>
    </row>
    <row r="299" spans="1:1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7"/>
      <c r="Q299" s="4"/>
      <c r="R299" s="4"/>
      <c r="S299" s="4"/>
    </row>
    <row r="300" spans="1:19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7"/>
      <c r="Q300" s="4"/>
      <c r="R300" s="4"/>
      <c r="S300" s="4"/>
    </row>
    <row r="301" spans="1:19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7"/>
      <c r="Q301" s="4"/>
      <c r="R301" s="4"/>
      <c r="S301" s="4"/>
    </row>
    <row r="302" spans="1:19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7"/>
      <c r="Q302" s="4"/>
      <c r="R302" s="4"/>
      <c r="S302" s="4"/>
    </row>
    <row r="303" spans="1:19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7"/>
      <c r="Q303" s="4"/>
      <c r="R303" s="4"/>
      <c r="S303" s="4"/>
    </row>
    <row r="304" spans="1:19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7"/>
      <c r="Q304" s="4"/>
      <c r="R304" s="4"/>
      <c r="S304" s="4"/>
    </row>
    <row r="305" spans="1:19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7"/>
      <c r="Q305" s="4"/>
      <c r="R305" s="4"/>
      <c r="S305" s="4"/>
    </row>
    <row r="306" spans="1:19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7"/>
      <c r="Q306" s="4"/>
      <c r="R306" s="4"/>
      <c r="S306" s="4"/>
    </row>
    <row r="307" spans="1:19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7"/>
      <c r="Q307" s="4"/>
      <c r="R307" s="4"/>
      <c r="S307" s="4"/>
    </row>
    <row r="308" spans="1:19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7"/>
      <c r="Q308" s="4"/>
      <c r="R308" s="4"/>
      <c r="S308" s="4"/>
    </row>
    <row r="309" spans="1:1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7"/>
      <c r="Q309" s="4"/>
      <c r="R309" s="4"/>
      <c r="S309" s="4"/>
    </row>
    <row r="310" spans="1:19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7"/>
      <c r="Q310" s="4"/>
      <c r="R310" s="4"/>
      <c r="S310" s="4"/>
    </row>
    <row r="311" spans="1:19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7"/>
      <c r="Q311" s="4"/>
      <c r="R311" s="4"/>
      <c r="S311" s="4"/>
    </row>
    <row r="312" spans="1:19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7"/>
      <c r="Q312" s="4"/>
      <c r="R312" s="4"/>
      <c r="S312" s="4"/>
    </row>
    <row r="313" spans="1:19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7"/>
      <c r="Q313" s="4"/>
      <c r="R313" s="4"/>
      <c r="S313" s="4"/>
    </row>
    <row r="314" spans="1:19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7"/>
      <c r="Q314" s="4"/>
      <c r="R314" s="4"/>
      <c r="S314" s="4"/>
    </row>
    <row r="315" spans="1:19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7"/>
      <c r="Q315" s="4"/>
      <c r="R315" s="4"/>
      <c r="S315" s="4"/>
    </row>
    <row r="316" spans="1:19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7"/>
      <c r="Q316" s="4"/>
      <c r="R316" s="4"/>
      <c r="S316" s="4"/>
    </row>
    <row r="317" spans="1:19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7"/>
      <c r="Q317" s="4"/>
      <c r="R317" s="4"/>
      <c r="S317" s="4"/>
    </row>
    <row r="318" spans="1:19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7"/>
      <c r="Q318" s="4"/>
      <c r="R318" s="4"/>
      <c r="S318" s="4"/>
    </row>
    <row r="319" spans="1: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7"/>
      <c r="Q319" s="4"/>
      <c r="R319" s="4"/>
      <c r="S319" s="4"/>
    </row>
    <row r="320" spans="1:19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7"/>
      <c r="Q320" s="4"/>
      <c r="R320" s="4"/>
      <c r="S320" s="4"/>
    </row>
    <row r="321" spans="1:19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7"/>
      <c r="Q321" s="4"/>
      <c r="R321" s="4"/>
      <c r="S321" s="4"/>
    </row>
    <row r="322" spans="1:19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7"/>
      <c r="Q322" s="4"/>
      <c r="R322" s="4"/>
      <c r="S322" s="4"/>
    </row>
    <row r="323" spans="1:19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7"/>
      <c r="Q323" s="4"/>
      <c r="R323" s="4"/>
      <c r="S323" s="4"/>
    </row>
    <row r="324" spans="1:19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7"/>
      <c r="Q324" s="4"/>
      <c r="R324" s="4"/>
      <c r="S324" s="4"/>
    </row>
    <row r="325" spans="1:19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7"/>
      <c r="Q325" s="4"/>
      <c r="R325" s="4"/>
      <c r="S325" s="4"/>
    </row>
    <row r="326" spans="1:19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7"/>
      <c r="Q326" s="4"/>
      <c r="R326" s="4"/>
      <c r="S326" s="4"/>
    </row>
    <row r="327" spans="1:19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7"/>
      <c r="Q327" s="4"/>
      <c r="R327" s="4"/>
      <c r="S327" s="4"/>
    </row>
    <row r="328" spans="1:19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7"/>
      <c r="Q328" s="4"/>
      <c r="R328" s="4"/>
      <c r="S328" s="4"/>
    </row>
    <row r="329" spans="1:1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7"/>
      <c r="Q329" s="4"/>
      <c r="R329" s="4"/>
      <c r="S329" s="4"/>
    </row>
    <row r="330" spans="1:19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7"/>
      <c r="Q330" s="4"/>
      <c r="R330" s="4"/>
      <c r="S330" s="4"/>
    </row>
    <row r="331" spans="1:19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7"/>
      <c r="Q331" s="4"/>
      <c r="R331" s="4"/>
      <c r="S331" s="4"/>
    </row>
    <row r="332" spans="1:19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7"/>
      <c r="Q332" s="4"/>
      <c r="R332" s="4"/>
      <c r="S332" s="4"/>
    </row>
    <row r="333" spans="1:19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7"/>
      <c r="Q333" s="4"/>
      <c r="R333" s="4"/>
      <c r="S333" s="4"/>
    </row>
    <row r="334" spans="1:19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7"/>
      <c r="Q334" s="4"/>
      <c r="R334" s="4"/>
      <c r="S334" s="4"/>
    </row>
    <row r="335" spans="1:19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7"/>
      <c r="Q335" s="4"/>
      <c r="R335" s="4"/>
      <c r="S335" s="4"/>
    </row>
    <row r="336" spans="1:19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7"/>
      <c r="Q336" s="4"/>
      <c r="R336" s="4"/>
      <c r="S336" s="4"/>
    </row>
    <row r="337" spans="1:19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7"/>
      <c r="Q337" s="4"/>
      <c r="R337" s="4"/>
      <c r="S337" s="4"/>
    </row>
    <row r="338" spans="1:19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7"/>
      <c r="Q338" s="4"/>
      <c r="R338" s="4"/>
      <c r="S338" s="4"/>
    </row>
    <row r="339" spans="1:1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7"/>
      <c r="Q339" s="4"/>
      <c r="R339" s="4"/>
      <c r="S339" s="4"/>
    </row>
    <row r="340" spans="1:19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7"/>
      <c r="Q340" s="4"/>
      <c r="R340" s="4"/>
      <c r="S340" s="4"/>
    </row>
    <row r="341" spans="1:19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7"/>
      <c r="Q341" s="4"/>
      <c r="R341" s="4"/>
      <c r="S341" s="4"/>
    </row>
    <row r="342" spans="1:19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7"/>
      <c r="Q342" s="4"/>
      <c r="R342" s="4"/>
      <c r="S342" s="4"/>
    </row>
    <row r="343" spans="1:19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7"/>
      <c r="Q343" s="4"/>
      <c r="R343" s="4"/>
      <c r="S343" s="4"/>
    </row>
    <row r="344" spans="1:19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7"/>
      <c r="Q344" s="4"/>
      <c r="R344" s="4"/>
      <c r="S344" s="4"/>
    </row>
    <row r="345" spans="1:19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7"/>
      <c r="Q345" s="4"/>
      <c r="R345" s="4"/>
      <c r="S345" s="4"/>
    </row>
    <row r="346" spans="1:19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7"/>
      <c r="Q346" s="4"/>
      <c r="R346" s="4"/>
      <c r="S346" s="4"/>
    </row>
    <row r="347" spans="1:19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7"/>
      <c r="Q347" s="4"/>
      <c r="R347" s="4"/>
      <c r="S347" s="4"/>
    </row>
    <row r="348" spans="1:19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7"/>
      <c r="Q348" s="4"/>
      <c r="R348" s="4"/>
      <c r="S348" s="4"/>
    </row>
    <row r="349" spans="1:1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7"/>
      <c r="Q349" s="4"/>
      <c r="R349" s="4"/>
      <c r="S349" s="4"/>
    </row>
    <row r="350" spans="1:19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7"/>
      <c r="Q350" s="4"/>
      <c r="R350" s="4"/>
      <c r="S350" s="4"/>
    </row>
    <row r="351" spans="1:19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7"/>
      <c r="Q351" s="4"/>
      <c r="R351" s="4"/>
      <c r="S351" s="4"/>
    </row>
    <row r="352" spans="1:19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7"/>
      <c r="Q352" s="4"/>
      <c r="R352" s="4"/>
      <c r="S352" s="4"/>
    </row>
    <row r="353" spans="1:19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7"/>
      <c r="Q353" s="4"/>
      <c r="R353" s="4"/>
      <c r="S353" s="4"/>
    </row>
    <row r="354" spans="1:19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7"/>
      <c r="Q354" s="4"/>
      <c r="R354" s="4"/>
      <c r="S354" s="4"/>
    </row>
    <row r="355" spans="1:19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7"/>
      <c r="Q355" s="4"/>
      <c r="R355" s="4"/>
      <c r="S355" s="4"/>
    </row>
    <row r="356" spans="1:19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7"/>
      <c r="Q356" s="4"/>
      <c r="R356" s="4"/>
      <c r="S356" s="4"/>
    </row>
    <row r="357" spans="1:19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7"/>
      <c r="Q357" s="4"/>
      <c r="R357" s="4"/>
      <c r="S357" s="4"/>
    </row>
    <row r="358" spans="1:19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7"/>
      <c r="Q358" s="4"/>
      <c r="R358" s="4"/>
      <c r="S358" s="4"/>
    </row>
    <row r="359" spans="1:1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7"/>
      <c r="Q359" s="4"/>
      <c r="R359" s="4"/>
      <c r="S359" s="4"/>
    </row>
    <row r="360" spans="1:19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7"/>
      <c r="Q360" s="4"/>
      <c r="R360" s="4"/>
      <c r="S360" s="4"/>
    </row>
    <row r="361" spans="1:19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7"/>
      <c r="Q361" s="4"/>
      <c r="R361" s="4"/>
      <c r="S361" s="4"/>
    </row>
    <row r="362" spans="1:19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7"/>
      <c r="Q362" s="4"/>
      <c r="R362" s="4"/>
      <c r="S362" s="4"/>
    </row>
    <row r="363" spans="1:19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7"/>
      <c r="Q363" s="4"/>
      <c r="R363" s="4"/>
      <c r="S363" s="4"/>
    </row>
    <row r="364" spans="1:19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7"/>
      <c r="Q364" s="4"/>
      <c r="R364" s="4"/>
      <c r="S364" s="4"/>
    </row>
    <row r="365" spans="1:19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7"/>
      <c r="Q365" s="4"/>
      <c r="R365" s="4"/>
      <c r="S365" s="4"/>
    </row>
    <row r="366" spans="1:19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7"/>
      <c r="Q366" s="4"/>
      <c r="R366" s="4"/>
      <c r="S366" s="4"/>
    </row>
    <row r="367" spans="1:19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7"/>
      <c r="Q367" s="4"/>
      <c r="R367" s="4"/>
      <c r="S367" s="4"/>
    </row>
    <row r="368" spans="1:19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7"/>
      <c r="Q368" s="4"/>
      <c r="R368" s="4"/>
      <c r="S368" s="4"/>
    </row>
    <row r="369" spans="1:1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7"/>
      <c r="Q369" s="4"/>
      <c r="R369" s="4"/>
      <c r="S369" s="4"/>
    </row>
    <row r="370" spans="1:19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7"/>
      <c r="Q370" s="4"/>
      <c r="R370" s="4"/>
      <c r="S370" s="4"/>
    </row>
    <row r="371" spans="1:19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7"/>
      <c r="Q371" s="4"/>
      <c r="R371" s="4"/>
      <c r="S371" s="4"/>
    </row>
    <row r="372" spans="1:19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7"/>
      <c r="Q372" s="4"/>
      <c r="R372" s="4"/>
      <c r="S372" s="4"/>
    </row>
    <row r="373" spans="1:19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7"/>
      <c r="Q373" s="4"/>
      <c r="R373" s="4"/>
      <c r="S373" s="4"/>
    </row>
    <row r="374" spans="1:19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7"/>
      <c r="Q374" s="4"/>
      <c r="R374" s="4"/>
      <c r="S374" s="4"/>
    </row>
    <row r="375" spans="1:19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7"/>
      <c r="Q375" s="4"/>
      <c r="R375" s="4"/>
      <c r="S375" s="4"/>
    </row>
    <row r="376" spans="1:19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7"/>
      <c r="Q376" s="4"/>
      <c r="R376" s="4"/>
      <c r="S376" s="4"/>
    </row>
    <row r="377" spans="1:19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7"/>
      <c r="Q377" s="4"/>
      <c r="R377" s="4"/>
      <c r="S377" s="4"/>
    </row>
    <row r="378" spans="1:19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7"/>
      <c r="Q378" s="4"/>
      <c r="R378" s="4"/>
      <c r="S378" s="4"/>
    </row>
    <row r="379" spans="1:1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7"/>
      <c r="Q379" s="4"/>
      <c r="R379" s="4"/>
      <c r="S379" s="4"/>
    </row>
    <row r="380" spans="1:19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7"/>
      <c r="Q380" s="4"/>
      <c r="R380" s="4"/>
      <c r="S380" s="4"/>
    </row>
    <row r="381" spans="1:19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7"/>
      <c r="Q381" s="4"/>
      <c r="R381" s="4"/>
      <c r="S381" s="4"/>
    </row>
    <row r="382" spans="1:19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7"/>
      <c r="Q382" s="4"/>
      <c r="R382" s="4"/>
      <c r="S382" s="4"/>
    </row>
    <row r="383" spans="1:19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7"/>
      <c r="Q383" s="4"/>
      <c r="R383" s="4"/>
      <c r="S383" s="4"/>
    </row>
    <row r="384" spans="1:19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7"/>
      <c r="Q384" s="4"/>
      <c r="R384" s="4"/>
      <c r="S384" s="4"/>
    </row>
    <row r="385" spans="1:19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7"/>
      <c r="Q385" s="4"/>
      <c r="R385" s="4"/>
      <c r="S385" s="4"/>
    </row>
    <row r="386" spans="1:19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7"/>
      <c r="Q386" s="4"/>
      <c r="R386" s="4"/>
      <c r="S386" s="4"/>
    </row>
    <row r="387" spans="1:19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7"/>
      <c r="Q387" s="4"/>
      <c r="R387" s="4"/>
      <c r="S387" s="4"/>
    </row>
    <row r="388" spans="1:19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7"/>
      <c r="Q388" s="4"/>
      <c r="R388" s="4"/>
      <c r="S388" s="4"/>
    </row>
    <row r="389" spans="1:1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7"/>
      <c r="Q389" s="4"/>
      <c r="R389" s="4"/>
      <c r="S389" s="4"/>
    </row>
    <row r="390" spans="1:19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7"/>
      <c r="Q390" s="4"/>
      <c r="R390" s="4"/>
      <c r="S390" s="4"/>
    </row>
    <row r="391" spans="1:19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7"/>
      <c r="Q391" s="4"/>
      <c r="R391" s="4"/>
      <c r="S391" s="4"/>
    </row>
    <row r="392" spans="1:19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7"/>
      <c r="Q392" s="4"/>
      <c r="R392" s="4"/>
      <c r="S392" s="4"/>
    </row>
    <row r="393" spans="1:19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7"/>
      <c r="Q393" s="4"/>
      <c r="R393" s="4"/>
      <c r="S393" s="4"/>
    </row>
    <row r="394" spans="1:19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7"/>
      <c r="Q394" s="4"/>
      <c r="R394" s="4"/>
      <c r="S394" s="4"/>
    </row>
    <row r="395" spans="1:19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7"/>
      <c r="Q395" s="4"/>
      <c r="R395" s="4"/>
      <c r="S395" s="4"/>
    </row>
    <row r="396" spans="1:19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7"/>
      <c r="Q396" s="4"/>
      <c r="R396" s="4"/>
      <c r="S396" s="4"/>
    </row>
    <row r="397" spans="1:19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7"/>
      <c r="Q397" s="4"/>
      <c r="R397" s="4"/>
      <c r="S397" s="4"/>
    </row>
    <row r="398" spans="1:19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7"/>
      <c r="Q398" s="4"/>
      <c r="R398" s="4"/>
      <c r="S398" s="4"/>
    </row>
    <row r="399" spans="1:1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7"/>
      <c r="Q399" s="4"/>
      <c r="R399" s="4"/>
      <c r="S399" s="4"/>
    </row>
    <row r="400" spans="1:19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7"/>
      <c r="Q400" s="4"/>
      <c r="R400" s="4"/>
      <c r="S400" s="4"/>
    </row>
    <row r="401" spans="1:19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7"/>
      <c r="Q401" s="4"/>
      <c r="R401" s="4"/>
      <c r="S401" s="4"/>
    </row>
    <row r="402" spans="1:19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7"/>
      <c r="Q402" s="4"/>
      <c r="R402" s="4"/>
      <c r="S402" s="4"/>
    </row>
    <row r="403" spans="1:19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7"/>
      <c r="Q403" s="4"/>
      <c r="R403" s="4"/>
      <c r="S403" s="4"/>
    </row>
    <row r="404" spans="1:19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7"/>
      <c r="Q404" s="4"/>
      <c r="R404" s="4"/>
      <c r="S404" s="4"/>
    </row>
    <row r="405" spans="1:19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7"/>
      <c r="Q405" s="4"/>
      <c r="R405" s="4"/>
      <c r="S405" s="4"/>
    </row>
    <row r="406" spans="1:19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7"/>
      <c r="Q406" s="4"/>
      <c r="R406" s="4"/>
      <c r="S406" s="4"/>
    </row>
    <row r="407" spans="1:19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7"/>
      <c r="Q407" s="4"/>
      <c r="R407" s="4"/>
      <c r="S407" s="4"/>
    </row>
    <row r="408" spans="1:19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7"/>
      <c r="Q408" s="4"/>
      <c r="R408" s="4"/>
      <c r="S408" s="4"/>
    </row>
    <row r="409" spans="1:1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7"/>
      <c r="Q409" s="4"/>
      <c r="R409" s="4"/>
      <c r="S409" s="4"/>
    </row>
    <row r="410" spans="1:19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7"/>
      <c r="Q410" s="4"/>
      <c r="R410" s="4"/>
      <c r="S410" s="4"/>
    </row>
    <row r="411" spans="1:19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7"/>
      <c r="Q411" s="4"/>
      <c r="R411" s="4"/>
      <c r="S411" s="4"/>
    </row>
    <row r="412" spans="1:19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7"/>
      <c r="Q412" s="4"/>
      <c r="R412" s="4"/>
      <c r="S412" s="4"/>
    </row>
    <row r="413" spans="1:19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7"/>
      <c r="Q413" s="4"/>
      <c r="R413" s="4"/>
      <c r="S413" s="4"/>
    </row>
    <row r="414" spans="1:19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7"/>
      <c r="Q414" s="4"/>
      <c r="R414" s="4"/>
      <c r="S414" s="4"/>
    </row>
    <row r="415" spans="1:19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7"/>
      <c r="Q415" s="4"/>
      <c r="R415" s="4"/>
      <c r="S415" s="4"/>
    </row>
    <row r="416" spans="1:19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7"/>
      <c r="Q416" s="4"/>
      <c r="R416" s="4"/>
      <c r="S416" s="4"/>
    </row>
    <row r="417" spans="1:19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7"/>
      <c r="Q417" s="4"/>
      <c r="R417" s="4"/>
      <c r="S417" s="4"/>
    </row>
    <row r="418" spans="1:19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7"/>
      <c r="Q418" s="4"/>
      <c r="R418" s="4"/>
      <c r="S418" s="4"/>
    </row>
    <row r="419" spans="1: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7"/>
      <c r="Q419" s="4"/>
      <c r="R419" s="4"/>
      <c r="S419" s="4"/>
    </row>
    <row r="420" spans="1:19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7"/>
      <c r="Q420" s="4"/>
      <c r="R420" s="4"/>
      <c r="S420" s="4"/>
    </row>
    <row r="421" spans="1:19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7"/>
      <c r="Q421" s="4"/>
      <c r="R421" s="4"/>
      <c r="S421" s="4"/>
    </row>
    <row r="422" spans="1:19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7"/>
      <c r="Q422" s="4"/>
      <c r="R422" s="4"/>
      <c r="S422" s="4"/>
    </row>
    <row r="423" spans="1:19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7"/>
      <c r="Q423" s="4"/>
      <c r="R423" s="4"/>
      <c r="S423" s="4"/>
    </row>
    <row r="424" spans="1:19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7"/>
      <c r="Q424" s="4"/>
      <c r="R424" s="4"/>
      <c r="S424" s="4"/>
    </row>
    <row r="425" spans="1:19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7"/>
      <c r="Q425" s="4"/>
      <c r="R425" s="4"/>
      <c r="S425" s="4"/>
    </row>
    <row r="426" spans="1:19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7"/>
      <c r="Q426" s="4"/>
      <c r="R426" s="4"/>
      <c r="S426" s="4"/>
    </row>
    <row r="427" spans="1:19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7"/>
      <c r="Q427" s="4"/>
      <c r="R427" s="4"/>
      <c r="S427" s="4"/>
    </row>
    <row r="428" spans="1:19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7"/>
      <c r="Q428" s="4"/>
      <c r="R428" s="4"/>
      <c r="S428" s="4"/>
    </row>
    <row r="429" spans="1:1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7"/>
      <c r="Q429" s="4"/>
      <c r="R429" s="4"/>
      <c r="S429" s="4"/>
    </row>
    <row r="430" spans="1:19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7"/>
      <c r="Q430" s="4"/>
      <c r="R430" s="4"/>
      <c r="S430" s="4"/>
    </row>
    <row r="431" spans="1:19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7"/>
      <c r="Q431" s="4"/>
      <c r="R431" s="4"/>
      <c r="S431" s="4"/>
    </row>
    <row r="432" spans="1:19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7"/>
      <c r="Q432" s="4"/>
      <c r="R432" s="4"/>
      <c r="S432" s="4"/>
    </row>
    <row r="433" spans="1:19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7"/>
      <c r="Q433" s="4"/>
      <c r="R433" s="4"/>
      <c r="S433" s="4"/>
    </row>
    <row r="434" spans="1:19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7"/>
      <c r="Q434" s="4"/>
      <c r="R434" s="4"/>
      <c r="S434" s="4"/>
    </row>
    <row r="435" spans="1:19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7"/>
      <c r="Q435" s="4"/>
      <c r="R435" s="4"/>
      <c r="S435" s="4"/>
    </row>
    <row r="436" spans="1:19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7"/>
      <c r="Q436" s="4"/>
      <c r="R436" s="4"/>
      <c r="S436" s="4"/>
    </row>
    <row r="437" spans="1:19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7"/>
      <c r="Q437" s="4"/>
      <c r="R437" s="4"/>
      <c r="S437" s="4"/>
    </row>
    <row r="438" spans="1:19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7"/>
      <c r="Q438" s="4"/>
      <c r="R438" s="4"/>
      <c r="S438" s="4"/>
    </row>
    <row r="439" spans="1:1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7"/>
      <c r="Q439" s="4"/>
      <c r="R439" s="4"/>
      <c r="S439" s="4"/>
    </row>
    <row r="440" spans="1:19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7"/>
      <c r="Q440" s="4"/>
      <c r="R440" s="4"/>
      <c r="S440" s="4"/>
    </row>
    <row r="441" spans="1:19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7"/>
      <c r="Q441" s="4"/>
      <c r="R441" s="4"/>
      <c r="S441" s="4"/>
    </row>
    <row r="442" spans="1:19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7"/>
      <c r="Q442" s="4"/>
      <c r="R442" s="4"/>
      <c r="S442" s="4"/>
    </row>
    <row r="443" spans="1:19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7"/>
      <c r="Q443" s="4"/>
      <c r="R443" s="4"/>
      <c r="S443" s="4"/>
    </row>
    <row r="444" spans="1:19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7"/>
      <c r="Q444" s="4"/>
      <c r="R444" s="4"/>
      <c r="S444" s="4"/>
    </row>
    <row r="445" spans="1:19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7"/>
      <c r="Q445" s="4"/>
      <c r="R445" s="4"/>
      <c r="S445" s="4"/>
    </row>
    <row r="446" spans="1:19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7"/>
      <c r="Q446" s="4"/>
      <c r="R446" s="4"/>
      <c r="S446" s="4"/>
    </row>
    <row r="447" spans="1:19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7"/>
      <c r="Q447" s="4"/>
      <c r="R447" s="4"/>
      <c r="S447" s="4"/>
    </row>
    <row r="448" spans="1:19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7"/>
      <c r="Q448" s="4"/>
      <c r="R448" s="4"/>
      <c r="S448" s="4"/>
    </row>
    <row r="449" spans="1:1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7"/>
      <c r="Q449" s="4"/>
      <c r="R449" s="4"/>
      <c r="S449" s="4"/>
    </row>
    <row r="450" spans="1:19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7"/>
      <c r="Q450" s="4"/>
      <c r="R450" s="4"/>
      <c r="S450" s="4"/>
    </row>
    <row r="451" spans="1:19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7"/>
      <c r="Q451" s="4"/>
      <c r="R451" s="4"/>
      <c r="S451" s="4"/>
    </row>
    <row r="452" spans="1:19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7"/>
      <c r="Q452" s="4"/>
      <c r="R452" s="4"/>
      <c r="S452" s="4"/>
    </row>
    <row r="453" spans="1:19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7"/>
      <c r="Q453" s="4"/>
      <c r="R453" s="4"/>
      <c r="S453" s="4"/>
    </row>
    <row r="454" spans="1:19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7"/>
      <c r="Q454" s="4"/>
      <c r="R454" s="4"/>
      <c r="S454" s="4"/>
    </row>
    <row r="455" spans="1:19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7"/>
      <c r="Q455" s="4"/>
      <c r="R455" s="4"/>
      <c r="S455" s="4"/>
    </row>
    <row r="456" spans="1:19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7"/>
      <c r="Q456" s="4"/>
      <c r="R456" s="4"/>
      <c r="S456" s="4"/>
    </row>
    <row r="457" spans="1:19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7"/>
      <c r="Q457" s="4"/>
      <c r="R457" s="4"/>
      <c r="S457" s="4"/>
    </row>
    <row r="458" spans="1:19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7"/>
      <c r="Q458" s="4"/>
      <c r="R458" s="4"/>
      <c r="S458" s="4"/>
    </row>
    <row r="459" spans="1:1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7"/>
      <c r="Q459" s="4"/>
      <c r="R459" s="4"/>
      <c r="S459" s="4"/>
    </row>
    <row r="460" spans="1:19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7"/>
      <c r="Q460" s="4"/>
      <c r="R460" s="4"/>
      <c r="S460" s="4"/>
    </row>
    <row r="461" spans="1:19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7"/>
      <c r="Q461" s="4"/>
      <c r="R461" s="4"/>
      <c r="S461" s="4"/>
    </row>
    <row r="462" spans="1:19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7"/>
      <c r="Q462" s="4"/>
      <c r="R462" s="4"/>
      <c r="S462" s="4"/>
    </row>
    <row r="463" spans="1:19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7"/>
      <c r="Q463" s="4"/>
      <c r="R463" s="4"/>
      <c r="S463" s="4"/>
    </row>
    <row r="464" spans="1:19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7"/>
      <c r="Q464" s="4"/>
      <c r="R464" s="4"/>
      <c r="S464" s="4"/>
    </row>
    <row r="465" spans="1:19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7"/>
      <c r="Q465" s="4"/>
      <c r="R465" s="4"/>
      <c r="S465" s="4"/>
    </row>
    <row r="466" spans="1:19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7"/>
      <c r="Q466" s="4"/>
      <c r="R466" s="4"/>
      <c r="S466" s="4"/>
    </row>
    <row r="467" spans="1:19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7"/>
      <c r="Q467" s="4"/>
      <c r="R467" s="4"/>
      <c r="S467" s="4"/>
    </row>
    <row r="468" spans="1:19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7"/>
      <c r="Q468" s="4"/>
      <c r="R468" s="4"/>
      <c r="S468" s="4"/>
    </row>
    <row r="469" spans="1:1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7"/>
      <c r="Q469" s="4"/>
      <c r="R469" s="4"/>
      <c r="S469" s="4"/>
    </row>
    <row r="470" spans="1:19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7"/>
      <c r="Q470" s="4"/>
      <c r="R470" s="4"/>
      <c r="S470" s="4"/>
    </row>
    <row r="471" spans="1:19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7"/>
      <c r="Q471" s="4"/>
      <c r="R471" s="4"/>
      <c r="S471" s="4"/>
    </row>
    <row r="472" spans="1:19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7"/>
      <c r="Q472" s="4"/>
      <c r="R472" s="4"/>
      <c r="S472" s="4"/>
    </row>
    <row r="473" spans="1:19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7"/>
      <c r="Q473" s="4"/>
      <c r="R473" s="4"/>
      <c r="S473" s="4"/>
    </row>
    <row r="474" spans="1:19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7"/>
      <c r="Q474" s="4"/>
      <c r="R474" s="4"/>
      <c r="S474" s="4"/>
    </row>
    <row r="475" spans="1:19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7"/>
      <c r="Q475" s="4"/>
      <c r="R475" s="4"/>
      <c r="S475" s="4"/>
    </row>
    <row r="476" spans="1:19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7"/>
      <c r="Q476" s="4"/>
      <c r="R476" s="4"/>
      <c r="S476" s="4"/>
    </row>
    <row r="477" spans="1:19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7"/>
      <c r="Q477" s="4"/>
      <c r="R477" s="4"/>
      <c r="S477" s="4"/>
    </row>
    <row r="478" spans="1:19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7"/>
      <c r="Q478" s="4"/>
      <c r="R478" s="4"/>
      <c r="S478" s="4"/>
    </row>
    <row r="479" spans="1:1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7"/>
      <c r="Q479" s="4"/>
      <c r="R479" s="4"/>
      <c r="S479" s="4"/>
    </row>
    <row r="480" spans="1:19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7"/>
      <c r="Q480" s="4"/>
      <c r="R480" s="4"/>
      <c r="S480" s="4"/>
    </row>
    <row r="481" spans="1:19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7"/>
      <c r="Q481" s="4"/>
      <c r="R481" s="4"/>
      <c r="S481" s="4"/>
    </row>
    <row r="482" spans="1:19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7"/>
      <c r="Q482" s="4"/>
      <c r="R482" s="4"/>
      <c r="S482" s="4"/>
    </row>
    <row r="483" spans="1:19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7"/>
      <c r="Q483" s="4"/>
      <c r="R483" s="4"/>
      <c r="S483" s="4"/>
    </row>
    <row r="484" spans="1:19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7"/>
      <c r="Q484" s="4"/>
      <c r="R484" s="4"/>
      <c r="S484" s="4"/>
    </row>
    <row r="485" spans="1:19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7"/>
      <c r="Q485" s="4"/>
      <c r="R485" s="4"/>
      <c r="S485" s="4"/>
    </row>
    <row r="486" spans="1:19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7"/>
      <c r="Q486" s="4"/>
      <c r="R486" s="4"/>
      <c r="S486" s="4"/>
    </row>
    <row r="487" spans="1:19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7"/>
      <c r="Q487" s="4"/>
      <c r="R487" s="4"/>
      <c r="S487" s="4"/>
    </row>
    <row r="488" spans="1:19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7"/>
      <c r="Q488" s="4"/>
      <c r="R488" s="4"/>
      <c r="S488" s="4"/>
    </row>
    <row r="489" spans="1:1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7"/>
      <c r="Q489" s="4"/>
      <c r="R489" s="4"/>
      <c r="S489" s="4"/>
    </row>
    <row r="490" spans="1:19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7"/>
      <c r="Q490" s="4"/>
      <c r="R490" s="4"/>
      <c r="S490" s="4"/>
    </row>
    <row r="491" spans="1:19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7"/>
      <c r="Q491" s="4"/>
      <c r="R491" s="4"/>
      <c r="S491" s="4"/>
    </row>
    <row r="492" spans="1:19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7"/>
      <c r="Q492" s="4"/>
      <c r="R492" s="4"/>
      <c r="S492" s="4"/>
    </row>
    <row r="493" spans="1:19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7"/>
      <c r="Q493" s="4"/>
      <c r="R493" s="4"/>
      <c r="S493" s="4"/>
    </row>
    <row r="494" spans="1:19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7"/>
      <c r="Q494" s="4"/>
      <c r="R494" s="4"/>
      <c r="S494" s="4"/>
    </row>
    <row r="495" spans="1:19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7"/>
      <c r="Q495" s="4"/>
      <c r="R495" s="4"/>
      <c r="S495" s="4"/>
    </row>
    <row r="496" spans="1:19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7"/>
      <c r="Q496" s="4"/>
      <c r="R496" s="4"/>
      <c r="S496" s="4"/>
    </row>
    <row r="497" spans="1:19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7"/>
      <c r="Q497" s="4"/>
      <c r="R497" s="4"/>
      <c r="S497" s="4"/>
    </row>
    <row r="498" spans="1:19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7"/>
      <c r="Q498" s="4"/>
      <c r="R498" s="4"/>
      <c r="S498" s="4"/>
    </row>
    <row r="499" spans="1:1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7"/>
      <c r="Q499" s="4"/>
      <c r="R499" s="4"/>
      <c r="S499" s="4"/>
    </row>
    <row r="500" spans="1:19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7"/>
      <c r="Q500" s="4"/>
      <c r="R500" s="4"/>
      <c r="S500" s="4"/>
    </row>
  </sheetData>
  <conditionalFormatting sqref="C2:C500">
    <cfRule type="expression" dxfId="7" priority="1">
      <formula>C2="Perfect"</formula>
    </cfRule>
    <cfRule type="expression" dxfId="6" priority="2">
      <formula>C2="Playable"</formula>
    </cfRule>
    <cfRule type="expression" dxfId="5" priority="3">
      <formula>OR(C2="Crash",C2="Doesn't open",C2="Black screen")</formula>
    </cfRule>
    <cfRule type="expression" dxfId="4" priority="4">
      <formula>C2="Partial"</formula>
    </cfRule>
    <cfRule type="expression" dxfId="3" priority="8">
      <formula>C2="White screen"</formula>
    </cfRule>
  </conditionalFormatting>
  <conditionalFormatting sqref="D2:D500">
    <cfRule type="expression" dxfId="2" priority="5">
      <formula>D2="High"</formula>
    </cfRule>
    <cfRule type="expression" dxfId="1" priority="6">
      <formula>D2="Medium"</formula>
    </cfRule>
    <cfRule type="expression" dxfId="0" priority="7">
      <formula>D2="Low"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Lists!$A$2:$A$11</xm:f>
          </x14:formula1>
          <xm:sqref>C2:C500</xm:sqref>
        </x14:dataValidation>
        <x14:dataValidation type="list" xr:uid="{00000000-0002-0000-0100-000001000000}">
          <x14:formula1>
            <xm:f>Lists!$B$2:$B$6</xm:f>
          </x14:formula1>
          <xm:sqref>D2:D500</xm:sqref>
        </x14:dataValidation>
        <x14:dataValidation type="list" xr:uid="{00000000-0002-0000-0100-000002000000}">
          <x14:formula1>
            <xm:f>Lists!$C$2:$C$7</xm:f>
          </x14:formula1>
          <xm:sqref>E2:E500</xm:sqref>
        </x14:dataValidation>
        <x14:dataValidation type="list" xr:uid="{00000000-0002-0000-0100-000003000000}">
          <x14:formula1>
            <xm:f>Lists!$D$2:$D$5</xm:f>
          </x14:formula1>
          <xm:sqref>F2:F500</xm:sqref>
        </x14:dataValidation>
        <x14:dataValidation type="list" xr:uid="{00000000-0002-0000-0100-000004000000}">
          <x14:formula1>
            <xm:f>Lists!$E$2:$E$5</xm:f>
          </x14:formula1>
          <xm:sqref>G2:G500</xm:sqref>
        </x14:dataValidation>
        <x14:dataValidation type="list" xr:uid="{00000000-0002-0000-0100-000005000000}">
          <x14:formula1>
            <xm:f>Lists!$F$2:$F$6</xm:f>
          </x14:formula1>
          <xm:sqref>M2:M500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"/>
  <sheetViews>
    <sheetView workbookViewId="0"/>
  </sheetViews>
  <sheetFormatPr baseColWidth="10" defaultColWidth="8.6640625" defaultRowHeight="14"/>
  <cols>
    <col min="1" max="1" width="30" customWidth="1"/>
    <col min="2" max="2" width="36" customWidth="1"/>
    <col min="3" max="3" width="44" customWidth="1"/>
    <col min="4" max="5" width="14" customWidth="1"/>
    <col min="6" max="6" width="15" customWidth="1"/>
    <col min="7" max="12" width="12" customWidth="1"/>
    <col min="13" max="13" width="16" customWidth="1"/>
    <col min="14" max="14" width="52" customWidth="1"/>
  </cols>
  <sheetData>
    <row r="1" spans="1:14">
      <c r="A1" s="2" t="s">
        <v>35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46</v>
      </c>
    </row>
    <row r="2" spans="1:14" ht="42">
      <c r="A2" s="4" t="s">
        <v>82</v>
      </c>
      <c r="B2" s="4" t="s">
        <v>83</v>
      </c>
      <c r="C2" s="4" t="s">
        <v>116</v>
      </c>
      <c r="D2" s="4" t="s">
        <v>117</v>
      </c>
      <c r="E2" s="4" t="s">
        <v>118</v>
      </c>
      <c r="F2" s="4" t="s">
        <v>119</v>
      </c>
      <c r="G2" s="4" t="s">
        <v>120</v>
      </c>
      <c r="H2" s="4" t="s">
        <v>119</v>
      </c>
      <c r="I2" s="4" t="s">
        <v>119</v>
      </c>
      <c r="J2" s="4" t="s">
        <v>119</v>
      </c>
      <c r="K2" s="4" t="s">
        <v>119</v>
      </c>
      <c r="L2" s="4" t="s">
        <v>119</v>
      </c>
      <c r="M2" s="4" t="s">
        <v>119</v>
      </c>
      <c r="N2" s="4" t="s">
        <v>121</v>
      </c>
    </row>
    <row r="3" spans="1:14" ht="42">
      <c r="A3" s="4" t="s">
        <v>122</v>
      </c>
      <c r="B3" s="4" t="s">
        <v>66</v>
      </c>
      <c r="C3" s="4" t="s">
        <v>123</v>
      </c>
      <c r="D3" s="4" t="s">
        <v>124</v>
      </c>
      <c r="E3" s="4" t="s">
        <v>118</v>
      </c>
      <c r="F3" s="4" t="s">
        <v>125</v>
      </c>
      <c r="G3" s="4" t="s">
        <v>119</v>
      </c>
      <c r="H3" s="4" t="s">
        <v>126</v>
      </c>
      <c r="I3" s="4" t="s">
        <v>108</v>
      </c>
      <c r="J3" s="4" t="s">
        <v>119</v>
      </c>
      <c r="K3" s="4" t="s">
        <v>119</v>
      </c>
      <c r="L3" s="4" t="s">
        <v>119</v>
      </c>
      <c r="M3" s="4" t="s">
        <v>119</v>
      </c>
      <c r="N3" s="4" t="s">
        <v>127</v>
      </c>
    </row>
    <row r="4" spans="1:14" ht="28">
      <c r="A4" s="4" t="s">
        <v>128</v>
      </c>
      <c r="B4" s="4" t="s">
        <v>129</v>
      </c>
      <c r="C4" s="4" t="s">
        <v>130</v>
      </c>
      <c r="D4" s="4" t="s">
        <v>117</v>
      </c>
      <c r="E4" s="4" t="s">
        <v>118</v>
      </c>
      <c r="F4" s="4" t="s">
        <v>120</v>
      </c>
      <c r="G4" s="4" t="s">
        <v>131</v>
      </c>
      <c r="H4" s="4" t="s">
        <v>110</v>
      </c>
      <c r="I4" s="4" t="s">
        <v>132</v>
      </c>
      <c r="J4" s="4" t="s">
        <v>133</v>
      </c>
      <c r="K4" s="4" t="s">
        <v>134</v>
      </c>
      <c r="L4" s="4" t="s">
        <v>135</v>
      </c>
      <c r="M4" s="4" t="s">
        <v>119</v>
      </c>
      <c r="N4" s="4" t="s">
        <v>136</v>
      </c>
    </row>
    <row r="5" spans="1:14" ht="28">
      <c r="A5" s="4" t="s">
        <v>75</v>
      </c>
      <c r="B5" s="4" t="s">
        <v>77</v>
      </c>
      <c r="C5" s="4" t="s">
        <v>137</v>
      </c>
      <c r="D5" s="4" t="s">
        <v>138</v>
      </c>
      <c r="E5" s="4" t="s">
        <v>118</v>
      </c>
      <c r="F5" s="4" t="s">
        <v>139</v>
      </c>
      <c r="G5" s="4" t="s">
        <v>119</v>
      </c>
      <c r="H5" s="4" t="s">
        <v>119</v>
      </c>
      <c r="I5" s="4" t="s">
        <v>119</v>
      </c>
      <c r="J5" s="4" t="s">
        <v>119</v>
      </c>
      <c r="K5" s="4" t="s">
        <v>119</v>
      </c>
      <c r="L5" s="4" t="s">
        <v>119</v>
      </c>
      <c r="M5" s="4" t="s">
        <v>119</v>
      </c>
      <c r="N5" s="4" t="s">
        <v>140</v>
      </c>
    </row>
    <row r="6" spans="1:14" ht="42">
      <c r="A6" s="4" t="s">
        <v>72</v>
      </c>
      <c r="B6" s="4" t="s">
        <v>74</v>
      </c>
      <c r="C6" s="4" t="s">
        <v>141</v>
      </c>
      <c r="D6" s="4" t="s">
        <v>138</v>
      </c>
      <c r="E6" s="4" t="s">
        <v>142</v>
      </c>
      <c r="F6" s="4" t="s">
        <v>139</v>
      </c>
      <c r="G6" s="4" t="s">
        <v>119</v>
      </c>
      <c r="H6" s="4" t="s">
        <v>119</v>
      </c>
      <c r="I6" s="4" t="s">
        <v>119</v>
      </c>
      <c r="J6" s="4" t="s">
        <v>119</v>
      </c>
      <c r="K6" s="4" t="s">
        <v>119</v>
      </c>
      <c r="L6" s="4" t="s">
        <v>119</v>
      </c>
      <c r="M6" s="4" t="s">
        <v>119</v>
      </c>
      <c r="N6" s="4" t="s">
        <v>143</v>
      </c>
    </row>
    <row r="7" spans="1:14">
      <c r="A7" s="4" t="s">
        <v>68</v>
      </c>
      <c r="B7" s="4" t="s">
        <v>70</v>
      </c>
      <c r="C7" s="4" t="s">
        <v>144</v>
      </c>
      <c r="D7" s="4" t="s">
        <v>138</v>
      </c>
      <c r="E7" s="4" t="s">
        <v>142</v>
      </c>
      <c r="F7" s="4" t="s">
        <v>139</v>
      </c>
      <c r="G7" s="4" t="s">
        <v>119</v>
      </c>
      <c r="H7" s="4" t="s">
        <v>119</v>
      </c>
      <c r="I7" s="4" t="s">
        <v>119</v>
      </c>
      <c r="J7" s="4" t="s">
        <v>119</v>
      </c>
      <c r="K7" s="4" t="s">
        <v>119</v>
      </c>
      <c r="L7" s="4" t="s">
        <v>119</v>
      </c>
      <c r="M7" s="4" t="s">
        <v>119</v>
      </c>
      <c r="N7" s="4" t="s">
        <v>143</v>
      </c>
    </row>
    <row r="8" spans="1:14" ht="42">
      <c r="A8" s="4" t="s">
        <v>79</v>
      </c>
      <c r="B8" s="4" t="s">
        <v>80</v>
      </c>
      <c r="C8" s="4" t="s">
        <v>145</v>
      </c>
      <c r="D8" s="4" t="s">
        <v>117</v>
      </c>
      <c r="E8" s="4" t="s">
        <v>118</v>
      </c>
      <c r="F8" s="4" t="s">
        <v>119</v>
      </c>
      <c r="G8" s="4" t="s">
        <v>131</v>
      </c>
      <c r="H8" s="4" t="s">
        <v>110</v>
      </c>
      <c r="I8" s="4" t="s">
        <v>132</v>
      </c>
      <c r="J8" s="4" t="s">
        <v>146</v>
      </c>
      <c r="K8" s="4" t="s">
        <v>119</v>
      </c>
      <c r="L8" s="4" t="s">
        <v>135</v>
      </c>
      <c r="M8" s="4" t="s">
        <v>119</v>
      </c>
      <c r="N8" s="4" t="s">
        <v>147</v>
      </c>
    </row>
    <row r="9" spans="1:14" ht="42">
      <c r="A9" s="4" t="s">
        <v>48</v>
      </c>
      <c r="B9" s="4" t="s">
        <v>55</v>
      </c>
      <c r="C9" s="4" t="s">
        <v>148</v>
      </c>
      <c r="D9" s="4" t="s">
        <v>117</v>
      </c>
      <c r="E9" s="4" t="s">
        <v>118</v>
      </c>
      <c r="F9" s="4" t="s">
        <v>126</v>
      </c>
      <c r="G9" s="4" t="s">
        <v>119</v>
      </c>
      <c r="H9" s="4" t="s">
        <v>119</v>
      </c>
      <c r="I9" s="4" t="s">
        <v>149</v>
      </c>
      <c r="J9" s="4" t="s">
        <v>120</v>
      </c>
      <c r="K9" s="4" t="s">
        <v>150</v>
      </c>
      <c r="L9" s="4" t="s">
        <v>119</v>
      </c>
      <c r="M9" s="4" t="s">
        <v>119</v>
      </c>
      <c r="N9" s="4" t="s">
        <v>151</v>
      </c>
    </row>
    <row r="10" spans="1:14" ht="28">
      <c r="A10" s="4" t="s">
        <v>59</v>
      </c>
      <c r="B10" s="4" t="s">
        <v>61</v>
      </c>
      <c r="C10" s="4" t="s">
        <v>152</v>
      </c>
      <c r="D10" s="4" t="s">
        <v>124</v>
      </c>
      <c r="E10" s="4" t="s">
        <v>118</v>
      </c>
      <c r="F10" s="4" t="s">
        <v>125</v>
      </c>
      <c r="G10" s="4" t="s">
        <v>119</v>
      </c>
      <c r="H10" s="4" t="s">
        <v>119</v>
      </c>
      <c r="I10" s="4" t="s">
        <v>119</v>
      </c>
      <c r="J10" s="4" t="s">
        <v>119</v>
      </c>
      <c r="K10" s="4" t="s">
        <v>119</v>
      </c>
      <c r="L10" s="4" t="s">
        <v>119</v>
      </c>
      <c r="M10" s="4" t="s">
        <v>119</v>
      </c>
      <c r="N10" s="4" t="s">
        <v>153</v>
      </c>
    </row>
    <row r="11" spans="1:14" ht="28">
      <c r="A11" s="4" t="s">
        <v>154</v>
      </c>
      <c r="B11" s="4" t="s">
        <v>88</v>
      </c>
      <c r="C11" s="4" t="s">
        <v>155</v>
      </c>
      <c r="D11" s="4" t="s">
        <v>156</v>
      </c>
      <c r="E11" s="4" t="s">
        <v>157</v>
      </c>
      <c r="F11" s="4" t="s">
        <v>158</v>
      </c>
      <c r="G11" s="4" t="s">
        <v>119</v>
      </c>
      <c r="H11" s="4" t="s">
        <v>119</v>
      </c>
      <c r="I11" s="4" t="s">
        <v>119</v>
      </c>
      <c r="J11" s="4" t="s">
        <v>119</v>
      </c>
      <c r="K11" s="4" t="s">
        <v>119</v>
      </c>
      <c r="L11" s="4" t="s">
        <v>119</v>
      </c>
      <c r="M11" s="4" t="s">
        <v>119</v>
      </c>
      <c r="N11" s="4" t="s">
        <v>159</v>
      </c>
    </row>
    <row r="12" spans="1:14" ht="42">
      <c r="A12" s="4" t="s">
        <v>91</v>
      </c>
      <c r="B12" s="4" t="s">
        <v>92</v>
      </c>
      <c r="C12" s="4" t="s">
        <v>160</v>
      </c>
      <c r="D12" s="4" t="s">
        <v>156</v>
      </c>
      <c r="E12" s="4" t="s">
        <v>157</v>
      </c>
      <c r="F12" s="4" t="s">
        <v>158</v>
      </c>
      <c r="G12" s="4" t="s">
        <v>119</v>
      </c>
      <c r="H12" s="4" t="s">
        <v>119</v>
      </c>
      <c r="I12" s="4" t="s">
        <v>119</v>
      </c>
      <c r="J12" s="4" t="s">
        <v>119</v>
      </c>
      <c r="K12" s="4" t="s">
        <v>119</v>
      </c>
      <c r="L12" s="4" t="s">
        <v>119</v>
      </c>
      <c r="M12" s="4" t="s">
        <v>119</v>
      </c>
      <c r="N12" s="4" t="s">
        <v>161</v>
      </c>
    </row>
    <row r="13" spans="1:14" ht="42">
      <c r="A13" s="4" t="s">
        <v>93</v>
      </c>
      <c r="B13" s="4" t="s">
        <v>94</v>
      </c>
      <c r="C13" s="4" t="s">
        <v>162</v>
      </c>
      <c r="D13" s="4" t="s">
        <v>156</v>
      </c>
      <c r="E13" s="4" t="s">
        <v>157</v>
      </c>
      <c r="F13" s="4" t="s">
        <v>158</v>
      </c>
      <c r="G13" s="4" t="s">
        <v>119</v>
      </c>
      <c r="H13" s="4" t="s">
        <v>119</v>
      </c>
      <c r="I13" s="4" t="s">
        <v>119</v>
      </c>
      <c r="J13" s="4" t="s">
        <v>119</v>
      </c>
      <c r="K13" s="4" t="s">
        <v>119</v>
      </c>
      <c r="L13" s="4" t="s">
        <v>119</v>
      </c>
      <c r="M13" s="4" t="s">
        <v>119</v>
      </c>
      <c r="N13" s="4" t="s">
        <v>163</v>
      </c>
    </row>
    <row r="14" spans="1:14" ht="28">
      <c r="A14" s="4" t="s">
        <v>98</v>
      </c>
      <c r="B14" s="4" t="s">
        <v>100</v>
      </c>
      <c r="C14" s="4" t="s">
        <v>164</v>
      </c>
      <c r="D14" s="4" t="s">
        <v>165</v>
      </c>
      <c r="E14" s="4" t="s">
        <v>118</v>
      </c>
      <c r="F14" s="4" t="s">
        <v>119</v>
      </c>
      <c r="G14" s="4" t="s">
        <v>120</v>
      </c>
      <c r="H14" s="4" t="s">
        <v>110</v>
      </c>
      <c r="I14" s="4" t="s">
        <v>132</v>
      </c>
      <c r="J14" s="4" t="s">
        <v>133</v>
      </c>
      <c r="K14" s="4" t="s">
        <v>134</v>
      </c>
      <c r="L14" s="4" t="s">
        <v>135</v>
      </c>
      <c r="M14" s="4" t="s">
        <v>119</v>
      </c>
      <c r="N14" s="4" t="s">
        <v>166</v>
      </c>
    </row>
    <row r="15" spans="1:14" ht="28">
      <c r="A15" s="4" t="s">
        <v>102</v>
      </c>
      <c r="B15" s="4" t="s">
        <v>103</v>
      </c>
      <c r="C15" s="4" t="s">
        <v>167</v>
      </c>
      <c r="D15" s="4" t="s">
        <v>117</v>
      </c>
      <c r="E15" s="4" t="s">
        <v>118</v>
      </c>
      <c r="F15" s="4" t="s">
        <v>120</v>
      </c>
      <c r="G15" s="4" t="s">
        <v>119</v>
      </c>
      <c r="H15" s="4" t="s">
        <v>119</v>
      </c>
      <c r="I15" s="4" t="s">
        <v>119</v>
      </c>
      <c r="J15" s="4" t="s">
        <v>133</v>
      </c>
      <c r="K15" s="4" t="s">
        <v>119</v>
      </c>
      <c r="L15" s="4" t="s">
        <v>119</v>
      </c>
      <c r="M15" s="4" t="s">
        <v>119</v>
      </c>
      <c r="N15" s="4" t="s">
        <v>168</v>
      </c>
    </row>
    <row r="16" spans="1:14" ht="42">
      <c r="A16" s="4" t="s">
        <v>169</v>
      </c>
      <c r="B16" s="4" t="s">
        <v>170</v>
      </c>
      <c r="C16" s="4" t="s">
        <v>171</v>
      </c>
      <c r="D16" s="4" t="s">
        <v>117</v>
      </c>
      <c r="E16" s="4" t="s">
        <v>118</v>
      </c>
      <c r="F16" s="4" t="s">
        <v>146</v>
      </c>
      <c r="G16" s="4" t="s">
        <v>172</v>
      </c>
      <c r="H16" s="4" t="s">
        <v>173</v>
      </c>
      <c r="I16" s="4" t="s">
        <v>174</v>
      </c>
      <c r="J16" s="4" t="s">
        <v>120</v>
      </c>
      <c r="K16" s="4" t="s">
        <v>175</v>
      </c>
      <c r="L16" s="4" t="s">
        <v>176</v>
      </c>
      <c r="M16" s="4" t="s">
        <v>119</v>
      </c>
      <c r="N16" s="4" t="s">
        <v>177</v>
      </c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workbookViewId="0">
      <selection sqref="A1:H1"/>
    </sheetView>
  </sheetViews>
  <sheetFormatPr baseColWidth="10" defaultColWidth="8.6640625" defaultRowHeight="14"/>
  <cols>
    <col min="1" max="2" width="24" customWidth="1"/>
  </cols>
  <sheetData>
    <row r="1" spans="1:8" ht="20" customHeight="1">
      <c r="A1" s="8" t="s">
        <v>178</v>
      </c>
      <c r="B1" s="8"/>
      <c r="C1" s="8"/>
      <c r="D1" s="8"/>
      <c r="E1" s="8"/>
      <c r="F1" s="8"/>
      <c r="G1" s="8"/>
      <c r="H1" s="8"/>
    </row>
    <row r="3" spans="1:8">
      <c r="A3" s="5" t="s">
        <v>179</v>
      </c>
      <c r="B3" s="5" t="s">
        <v>180</v>
      </c>
      <c r="D3" s="9" t="s">
        <v>181</v>
      </c>
      <c r="E3" s="9"/>
      <c r="F3" s="9"/>
      <c r="G3" s="9"/>
      <c r="H3" s="9"/>
    </row>
    <row r="4" spans="1:8">
      <c r="A4" t="s">
        <v>182</v>
      </c>
      <c r="B4">
        <f>COUNTA(Compatibility!A2:A500)</f>
        <v>15</v>
      </c>
      <c r="D4" s="9"/>
      <c r="E4" s="9"/>
      <c r="F4" s="9"/>
      <c r="G4" s="9"/>
      <c r="H4" s="9"/>
    </row>
    <row r="5" spans="1:8">
      <c r="A5" t="s">
        <v>183</v>
      </c>
      <c r="B5">
        <f>COUNTIF(Compatibility!C2:C500,"Perfect")+COUNTIF(Compatibility!C2:C500,"Playable")</f>
        <v>12</v>
      </c>
      <c r="D5" s="9"/>
      <c r="E5" s="9"/>
      <c r="F5" s="9"/>
      <c r="G5" s="9"/>
      <c r="H5" s="9"/>
    </row>
    <row r="6" spans="1:8">
      <c r="A6" t="s">
        <v>184</v>
      </c>
      <c r="B6">
        <f>COUNTIF(Compatibility!C2:C500,"Partial")+COUNTIF(Compatibility!C2:C500,"Boots")+COUNTIF(Compatibility!C2:C500,"Doesn't open")+COUNTIF(Compatibility!C2:C500,"Black screen")+COUNTIF(Compatibility!C2:C500,"White screen")+COUNTIF(Compatibility!C2:C500,"Crash")+COUNTIF(Compatibility!C2:C500,"Needs assets")</f>
        <v>3</v>
      </c>
      <c r="D6" s="9"/>
      <c r="E6" s="9"/>
      <c r="F6" s="9"/>
      <c r="G6" s="9"/>
      <c r="H6" s="9"/>
    </row>
    <row r="7" spans="1:8">
      <c r="A7" t="s">
        <v>185</v>
      </c>
      <c r="B7">
        <f>COUNTA('Control Profiles'!A2:A200)</f>
        <v>15</v>
      </c>
      <c r="D7" s="9"/>
      <c r="E7" s="9"/>
      <c r="F7" s="9"/>
      <c r="G7" s="9"/>
      <c r="H7" s="9"/>
    </row>
    <row r="8" spans="1:8">
      <c r="A8" t="s">
        <v>186</v>
      </c>
      <c r="B8" t="s">
        <v>89</v>
      </c>
      <c r="D8" s="9"/>
      <c r="E8" s="9"/>
      <c r="F8" s="9"/>
      <c r="G8" s="9"/>
      <c r="H8" s="9"/>
    </row>
    <row r="10" spans="1:8">
      <c r="A10" s="6" t="s">
        <v>0</v>
      </c>
      <c r="B10" s="6" t="s">
        <v>187</v>
      </c>
    </row>
    <row r="11" spans="1:8">
      <c r="A11" t="s">
        <v>6</v>
      </c>
      <c r="B11">
        <f>COUNTIF(Compatibility!$C$2:$C$500,A11)</f>
        <v>8</v>
      </c>
    </row>
    <row r="12" spans="1:8">
      <c r="A12" t="s">
        <v>12</v>
      </c>
      <c r="B12">
        <f>COUNTIF(Compatibility!$C$2:$C$500,A12)</f>
        <v>4</v>
      </c>
    </row>
    <row r="13" spans="1:8">
      <c r="A13" t="s">
        <v>18</v>
      </c>
      <c r="B13">
        <f>COUNTIF(Compatibility!$C$2:$C$500,A13)</f>
        <v>0</v>
      </c>
    </row>
    <row r="14" spans="1:8">
      <c r="A14" t="s">
        <v>23</v>
      </c>
      <c r="B14">
        <f>COUNTIF(Compatibility!$C$2:$C$500,A14)</f>
        <v>0</v>
      </c>
    </row>
    <row r="15" spans="1:8">
      <c r="A15" t="s">
        <v>26</v>
      </c>
      <c r="B15">
        <f>COUNTIF(Compatibility!$C$2:$C$500,A15)</f>
        <v>1</v>
      </c>
    </row>
    <row r="16" spans="1:8">
      <c r="A16" t="s">
        <v>29</v>
      </c>
      <c r="B16">
        <f>COUNTIF(Compatibility!$C$2:$C$500,A16)</f>
        <v>0</v>
      </c>
    </row>
    <row r="17" spans="1:2">
      <c r="A17" t="s">
        <v>31</v>
      </c>
      <c r="B17">
        <f>COUNTIF(Compatibility!$C$2:$C$500,A17)</f>
        <v>1</v>
      </c>
    </row>
    <row r="18" spans="1:2">
      <c r="A18" t="s">
        <v>32</v>
      </c>
      <c r="B18">
        <f>COUNTIF(Compatibility!$C$2:$C$500,A18)</f>
        <v>1</v>
      </c>
    </row>
    <row r="19" spans="1:2">
      <c r="A19" t="s">
        <v>33</v>
      </c>
      <c r="B19">
        <f>COUNTIF(Compatibility!$C$2:$C$500,A19)</f>
        <v>0</v>
      </c>
    </row>
    <row r="20" spans="1:2">
      <c r="A20" t="s">
        <v>34</v>
      </c>
      <c r="B20">
        <f>COUNTIF(Compatibility!$C$2:$C$500,A20)</f>
        <v>0</v>
      </c>
    </row>
  </sheetData>
  <mergeCells count="2">
    <mergeCell ref="A1:H1"/>
    <mergeCell ref="D3:H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Lists</vt:lpstr>
      <vt:lpstr>Compatibility</vt:lpstr>
      <vt:lpstr>Control Profiles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Leonel Maldonado Delgado</cp:lastModifiedBy>
  <dcterms:modified xsi:type="dcterms:W3CDTF">2026-08-31T18:56:09Z</dcterms:modified>
</cp:coreProperties>
</file>